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jdiaz\Documents\CAMILO\YT\"/>
    </mc:Choice>
  </mc:AlternateContent>
  <xr:revisionPtr revIDLastSave="0" documentId="13_ncr:1_{205F308F-5A2E-4C59-8290-2A0250E3F001}" xr6:coauthVersionLast="45" xr6:coauthVersionMax="45" xr10:uidLastSave="{00000000-0000-0000-0000-000000000000}"/>
  <bookViews>
    <workbookView xWindow="-110" yWindow="-110" windowWidth="19420" windowHeight="10420" activeTab="2" xr2:uid="{9D4379E0-3F3F-43A3-9627-54084497EF69}"/>
  </bookViews>
  <sheets>
    <sheet name="FACTURAS" sheetId="1" r:id="rId1"/>
    <sheet name="DATOS CLIENTE Y VENTAS" sheetId="3" r:id="rId2"/>
    <sheet name="CORREO" sheetId="2" r:id="rId3"/>
  </sheets>
  <definedNames>
    <definedName name="_xlnm._FilterDatabase" localSheetId="0" hidden="1">FACTURAS!$A$1:$H$50</definedName>
  </definedNames>
  <calcPr calcId="191029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" l="1"/>
  <c r="D7" i="2"/>
  <c r="D3" i="2"/>
  <c r="G5" i="2"/>
  <c r="G3" i="2"/>
  <c r="C87" i="2"/>
  <c r="D87" i="2"/>
  <c r="E87" i="2"/>
  <c r="F87" i="2"/>
  <c r="C84" i="2"/>
  <c r="D84" i="2"/>
  <c r="E84" i="2"/>
  <c r="F84" i="2"/>
  <c r="C85" i="2"/>
  <c r="D85" i="2"/>
  <c r="E85" i="2"/>
  <c r="F85" i="2"/>
  <c r="C86" i="2"/>
  <c r="D86" i="2"/>
  <c r="E86" i="2"/>
  <c r="F86" i="2"/>
  <c r="C78" i="2"/>
  <c r="D78" i="2"/>
  <c r="E78" i="2"/>
  <c r="F78" i="2"/>
  <c r="C79" i="2"/>
  <c r="D79" i="2"/>
  <c r="E79" i="2"/>
  <c r="F79" i="2"/>
  <c r="C80" i="2"/>
  <c r="D80" i="2"/>
  <c r="E80" i="2"/>
  <c r="F80" i="2"/>
  <c r="C81" i="2"/>
  <c r="D81" i="2"/>
  <c r="E81" i="2"/>
  <c r="F81" i="2"/>
  <c r="C82" i="2"/>
  <c r="D82" i="2"/>
  <c r="E82" i="2"/>
  <c r="F82" i="2"/>
  <c r="C83" i="2"/>
  <c r="D83" i="2"/>
  <c r="E83" i="2"/>
  <c r="F83" i="2"/>
  <c r="E77" i="2"/>
  <c r="F77" i="2"/>
  <c r="D77" i="2"/>
  <c r="C77" i="2"/>
  <c r="F74" i="2"/>
  <c r="D74" i="2"/>
  <c r="B3" i="3"/>
  <c r="B4" i="3"/>
  <c r="B5" i="3"/>
  <c r="B6" i="3"/>
  <c r="B2" i="3"/>
  <c r="C70" i="2"/>
  <c r="A1" i="2"/>
  <c r="G2" i="1" s="1"/>
  <c r="I2" i="1" s="1"/>
  <c r="G45" i="1" l="1"/>
  <c r="I45" i="1" s="1"/>
  <c r="G37" i="1"/>
  <c r="I37" i="1" s="1"/>
  <c r="G29" i="1"/>
  <c r="I29" i="1" s="1"/>
  <c r="G21" i="1"/>
  <c r="I21" i="1" s="1"/>
  <c r="G13" i="1"/>
  <c r="I13" i="1" s="1"/>
  <c r="G5" i="1"/>
  <c r="I5" i="1" s="1"/>
  <c r="G44" i="1"/>
  <c r="I44" i="1" s="1"/>
  <c r="G36" i="1"/>
  <c r="I36" i="1" s="1"/>
  <c r="G28" i="1"/>
  <c r="I28" i="1" s="1"/>
  <c r="G20" i="1"/>
  <c r="I20" i="1" s="1"/>
  <c r="G12" i="1"/>
  <c r="I12" i="1" s="1"/>
  <c r="G4" i="1"/>
  <c r="I4" i="1" s="1"/>
  <c r="G43" i="1"/>
  <c r="I43" i="1" s="1"/>
  <c r="G27" i="1"/>
  <c r="I27" i="1" s="1"/>
  <c r="G11" i="1"/>
  <c r="I11" i="1" s="1"/>
  <c r="G50" i="1"/>
  <c r="I50" i="1" s="1"/>
  <c r="G34" i="1"/>
  <c r="I34" i="1" s="1"/>
  <c r="G26" i="1"/>
  <c r="I26" i="1" s="1"/>
  <c r="G10" i="1"/>
  <c r="I10" i="1" s="1"/>
  <c r="G49" i="1"/>
  <c r="I49" i="1" s="1"/>
  <c r="G41" i="1"/>
  <c r="I41" i="1" s="1"/>
  <c r="G33" i="1"/>
  <c r="I33" i="1" s="1"/>
  <c r="G25" i="1"/>
  <c r="I25" i="1" s="1"/>
  <c r="G17" i="1"/>
  <c r="I17" i="1" s="1"/>
  <c r="G9" i="1"/>
  <c r="I9" i="1" s="1"/>
  <c r="G48" i="1"/>
  <c r="I48" i="1" s="1"/>
  <c r="G40" i="1"/>
  <c r="I40" i="1" s="1"/>
  <c r="G32" i="1"/>
  <c r="I32" i="1" s="1"/>
  <c r="G24" i="1"/>
  <c r="I24" i="1" s="1"/>
  <c r="G16" i="1"/>
  <c r="I16" i="1" s="1"/>
  <c r="G8" i="1"/>
  <c r="I8" i="1" s="1"/>
  <c r="G35" i="1"/>
  <c r="I35" i="1" s="1"/>
  <c r="G19" i="1"/>
  <c r="I19" i="1" s="1"/>
  <c r="G3" i="1"/>
  <c r="I3" i="1" s="1"/>
  <c r="G42" i="1"/>
  <c r="I42" i="1" s="1"/>
  <c r="G18" i="1"/>
  <c r="I18" i="1" s="1"/>
  <c r="G47" i="1"/>
  <c r="I47" i="1" s="1"/>
  <c r="G39" i="1"/>
  <c r="I39" i="1" s="1"/>
  <c r="G31" i="1"/>
  <c r="I31" i="1" s="1"/>
  <c r="G23" i="1"/>
  <c r="I23" i="1" s="1"/>
  <c r="G15" i="1"/>
  <c r="I15" i="1" s="1"/>
  <c r="G7" i="1"/>
  <c r="I7" i="1" s="1"/>
  <c r="G46" i="1"/>
  <c r="I46" i="1" s="1"/>
  <c r="G38" i="1"/>
  <c r="I38" i="1" s="1"/>
  <c r="G30" i="1"/>
  <c r="I30" i="1" s="1"/>
  <c r="G22" i="1"/>
  <c r="I22" i="1" s="1"/>
  <c r="G14" i="1"/>
  <c r="I14" i="1" s="1"/>
  <c r="G6" i="1"/>
  <c r="I6" i="1" s="1"/>
  <c r="G4" i="2" l="1"/>
  <c r="D4" i="2" s="1"/>
</calcChain>
</file>

<file path=xl/sharedStrings.xml><?xml version="1.0" encoding="utf-8"?>
<sst xmlns="http://schemas.openxmlformats.org/spreadsheetml/2006/main" count="167" uniqueCount="65">
  <si>
    <t>Tipo de Doc</t>
  </si>
  <si>
    <t>Fecha Doc</t>
  </si>
  <si>
    <t>Cliente</t>
  </si>
  <si>
    <t>Numero Cliente</t>
  </si>
  <si>
    <t>Dia de Vencimiento</t>
  </si>
  <si>
    <t>Dias Factura</t>
  </si>
  <si>
    <t>Factura</t>
  </si>
  <si>
    <t>Microsoft</t>
  </si>
  <si>
    <t>Apple</t>
  </si>
  <si>
    <t>Tesla</t>
  </si>
  <si>
    <t>Bloomberg</t>
  </si>
  <si>
    <t>Samsung</t>
  </si>
  <si>
    <t>Valor</t>
  </si>
  <si>
    <t>Pago</t>
  </si>
  <si>
    <t xml:space="preserve">ESTADO DE CUENTA : </t>
  </si>
  <si>
    <t>EMAIL</t>
  </si>
  <si>
    <t>Email Ventas</t>
  </si>
  <si>
    <t>Vencido</t>
  </si>
  <si>
    <t>Total Cartera</t>
  </si>
  <si>
    <t>XIAOMI</t>
  </si>
  <si>
    <t>Correo</t>
  </si>
  <si>
    <t>Correo Ventas</t>
  </si>
  <si>
    <t>Nombre Contacto</t>
  </si>
  <si>
    <t>Adolfo</t>
  </si>
  <si>
    <t>Ricardo</t>
  </si>
  <si>
    <t>Marta</t>
  </si>
  <si>
    <t>Daniela</t>
  </si>
  <si>
    <t>Humberto</t>
  </si>
  <si>
    <t>adolfo@Microsoft.com</t>
  </si>
  <si>
    <t>ricardo@Apple.com</t>
  </si>
  <si>
    <t>marta@Tesla.com</t>
  </si>
  <si>
    <t>daniela@Bloomberg.com</t>
  </si>
  <si>
    <t>humberto@Samsung.com</t>
  </si>
  <si>
    <t>Nombre Ventas</t>
  </si>
  <si>
    <t>Pablo</t>
  </si>
  <si>
    <t>Adrian</t>
  </si>
  <si>
    <t>Carolina</t>
  </si>
  <si>
    <t>Daniel</t>
  </si>
  <si>
    <t>Diana</t>
  </si>
  <si>
    <t>Pablo@xiaomi.com</t>
  </si>
  <si>
    <t>Adrian@xiaomi.com</t>
  </si>
  <si>
    <t>Carolina@xiaomi.com</t>
  </si>
  <si>
    <t>Daniel@xiaomi.com</t>
  </si>
  <si>
    <t>Diana@xiaomi.com</t>
  </si>
  <si>
    <t>Total general</t>
  </si>
  <si>
    <t>Suma de Fecha Doc</t>
  </si>
  <si>
    <t>Numero Doc</t>
  </si>
  <si>
    <t>Suma de Dia de Vencimiento</t>
  </si>
  <si>
    <t>Suma de Dias Factura</t>
  </si>
  <si>
    <t>Suma de Vencido</t>
  </si>
  <si>
    <t>Numero de factura</t>
  </si>
  <si>
    <t>Buenas tardes</t>
  </si>
  <si>
    <t>Suma de Valor</t>
  </si>
  <si>
    <t>A continuación  puedes encontrar tu estado de cuenta y especificando tus facturas vencidas</t>
  </si>
  <si>
    <t>Numero de cliente</t>
  </si>
  <si>
    <t>Dias de Factura</t>
  </si>
  <si>
    <t>Cartera total</t>
  </si>
  <si>
    <t xml:space="preserve">Estado de Cuenta : </t>
  </si>
  <si>
    <t>Número Factura</t>
  </si>
  <si>
    <t>Quedo pendiente a cualquier inquietud</t>
  </si>
  <si>
    <t>Muchas Gracias</t>
  </si>
  <si>
    <t>NOMBRE CLIENTE</t>
  </si>
  <si>
    <t>EXPOSICIÓN CART.</t>
  </si>
  <si>
    <t>Asunto</t>
  </si>
  <si>
    <t>camilo.diaz1996@outlook.com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</si>
</sst>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Franklin Gothic Book"/>
      <family val="2"/>
    </font>
    <font>
      <sz val="11"/>
      <color theme="1"/>
      <name val="Franklin Gothic Book"/>
      <family val="2"/>
    </font>
    <font>
      <b/>
      <sz val="11"/>
      <name val="Franklin Gothic Book"/>
      <family val="2"/>
    </font>
    <font>
      <b/>
      <sz val="11"/>
      <color theme="1"/>
      <name val="Franklin Gothic Book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9" tint="0.79998168889431442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4" fontId="0" fillId="0" borderId="0" xfId="1" applyFont="1"/>
    <xf numFmtId="14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4" fontId="0" fillId="0" borderId="0" xfId="1" applyFont="1" applyAlignment="1">
      <alignment horizontal="center"/>
    </xf>
    <xf numFmtId="0" fontId="7" fillId="0" borderId="0" xfId="3"/>
    <xf numFmtId="0" fontId="7" fillId="0" borderId="0" xfId="3" applyAlignment="1">
      <alignment horizontal="center"/>
    </xf>
    <xf numFmtId="0" fontId="8" fillId="0" borderId="0" xfId="3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44" fontId="4" fillId="0" borderId="0" xfId="1" applyFont="1"/>
    <xf numFmtId="2" fontId="0" fillId="0" borderId="0" xfId="0" pivotButton="1" applyNumberFormat="1"/>
    <xf numFmtId="44" fontId="4" fillId="0" borderId="0" xfId="1" applyFont="1" applyAlignment="1">
      <alignment horizontal="center"/>
    </xf>
    <xf numFmtId="44" fontId="6" fillId="0" borderId="0" xfId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7" xfId="0" applyNumberFormat="1" applyFont="1" applyFill="1" applyBorder="1" applyAlignment="1">
      <alignment horizontal="center"/>
    </xf>
    <xf numFmtId="44" fontId="4" fillId="0" borderId="4" xfId="1" applyFont="1" applyBorder="1"/>
    <xf numFmtId="44" fontId="4" fillId="0" borderId="5" xfId="1" applyFont="1" applyBorder="1"/>
    <xf numFmtId="44" fontId="4" fillId="0" borderId="6" xfId="1" applyFont="1" applyBorder="1"/>
    <xf numFmtId="0" fontId="6" fillId="0" borderId="9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2" fillId="4" borderId="3" xfId="0" applyFont="1" applyFill="1" applyBorder="1"/>
    <xf numFmtId="0" fontId="6" fillId="3" borderId="1" xfId="0" applyFont="1" applyFill="1" applyBorder="1" applyAlignment="1">
      <alignment horizontal="right"/>
    </xf>
    <xf numFmtId="0" fontId="6" fillId="3" borderId="8" xfId="0" applyFont="1" applyFill="1" applyBorder="1"/>
    <xf numFmtId="0" fontId="6" fillId="3" borderId="9" xfId="0" applyFont="1" applyFill="1" applyBorder="1" applyAlignment="1">
      <alignment horizontal="center"/>
    </xf>
    <xf numFmtId="0" fontId="2" fillId="4" borderId="4" xfId="0" applyNumberFormat="1" applyFont="1" applyFill="1" applyBorder="1" applyAlignment="1">
      <alignment horizontal="left"/>
    </xf>
    <xf numFmtId="0" fontId="2" fillId="4" borderId="5" xfId="0" applyNumberFormat="1" applyFont="1" applyFill="1" applyBorder="1" applyAlignment="1">
      <alignment horizontal="left"/>
    </xf>
    <xf numFmtId="0" fontId="2" fillId="4" borderId="6" xfId="0" applyNumberFormat="1" applyFont="1" applyFill="1" applyBorder="1" applyAlignment="1">
      <alignment horizontal="left"/>
    </xf>
    <xf numFmtId="0" fontId="6" fillId="0" borderId="7" xfId="0" applyFont="1" applyBorder="1"/>
    <xf numFmtId="0" fontId="6" fillId="0" borderId="12" xfId="0" applyFont="1" applyBorder="1" applyAlignment="1">
      <alignment horizontal="center"/>
    </xf>
    <xf numFmtId="9" fontId="6" fillId="0" borderId="10" xfId="2" applyFont="1" applyBorder="1" applyAlignment="1">
      <alignment horizont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9">
    <dxf>
      <numFmt numFmtId="11" formatCode="&quot;$&quot;\ #,##0.00;\-&quot;$&quot;\ #,##0.00"/>
    </dxf>
    <dxf>
      <numFmt numFmtId="2" formatCode="0.00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831850</xdr:colOff>
      <xdr:row>5</xdr:row>
      <xdr:rowOff>8251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E13B56-B9AE-4851-A5BD-E40B12848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054099" cy="9798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76200</xdr:rowOff>
    </xdr:from>
    <xdr:to>
      <xdr:col>1</xdr:col>
      <xdr:colOff>831849</xdr:colOff>
      <xdr:row>67</xdr:row>
      <xdr:rowOff>103501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299F40A1-12FD-4AFF-84A8-FED718EF3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65450"/>
          <a:ext cx="1054099" cy="979801"/>
        </a:xfrm>
        <a:prstGeom prst="rect">
          <a:avLst/>
        </a:prstGeom>
      </xdr:spPr>
    </xdr:pic>
    <xdr:clientData/>
  </xdr:twoCellAnchor>
  <xdr:twoCellAnchor>
    <xdr:from>
      <xdr:col>7</xdr:col>
      <xdr:colOff>679450</xdr:colOff>
      <xdr:row>5</xdr:row>
      <xdr:rowOff>12700</xdr:rowOff>
    </xdr:from>
    <xdr:to>
      <xdr:col>9</xdr:col>
      <xdr:colOff>349250</xdr:colOff>
      <xdr:row>8</xdr:row>
      <xdr:rowOff>19050</xdr:rowOff>
    </xdr:to>
    <xdr:sp macro="[0]!ENVIAR_CORREOS" textlink="">
      <xdr:nvSpPr>
        <xdr:cNvPr id="6" name="Rectángulo 5">
          <a:extLst>
            <a:ext uri="{FF2B5EF4-FFF2-40B4-BE49-F238E27FC236}">
              <a16:creationId xmlns:a16="http://schemas.microsoft.com/office/drawing/2014/main" id="{3BA1C108-4CE9-4476-A6EF-649B7C2DDD43}"/>
            </a:ext>
          </a:extLst>
        </xdr:cNvPr>
        <xdr:cNvSpPr/>
      </xdr:nvSpPr>
      <xdr:spPr>
        <a:xfrm>
          <a:off x="8864600" y="984250"/>
          <a:ext cx="1492250" cy="590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</a:t>
          </a:r>
          <a:r>
            <a:rPr lang="es-CO" sz="1400" b="1" baseline="0"/>
            <a:t> CORREO</a:t>
          </a:r>
          <a:endParaRPr lang="es-CO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o Jose Diaz Carvajal" refreshedDate="44317.598181365742" createdVersion="6" refreshedVersion="6" minRefreshableVersion="3" recordCount="50" xr:uid="{9AE1755B-7BD7-4DF6-9E69-D9F6427CE980}">
  <cacheSource type="worksheet">
    <worksheetSource ref="A1:I1048576" sheet="FACTURAS"/>
  </cacheSource>
  <cacheFields count="9">
    <cacheField name="Tipo de Doc" numFmtId="0">
      <sharedItems containsBlank="1"/>
    </cacheField>
    <cacheField name="Numero Doc" numFmtId="0">
      <sharedItems containsString="0" containsBlank="1" containsNumber="1" containsInteger="1" minValue="3042" maxValue="3966" count="48">
        <n v="3757"/>
        <n v="3383"/>
        <n v="3677"/>
        <n v="3115"/>
        <n v="3885"/>
        <n v="3266"/>
        <n v="3379"/>
        <n v="3461"/>
        <n v="3503"/>
        <n v="3665"/>
        <n v="3183"/>
        <n v="3686"/>
        <n v="3966"/>
        <n v="3468"/>
        <n v="3049"/>
        <n v="3235"/>
        <n v="3416"/>
        <n v="3529"/>
        <n v="3823"/>
        <n v="3440"/>
        <n v="3910"/>
        <n v="3044"/>
        <n v="3795"/>
        <n v="3240"/>
        <n v="3466"/>
        <n v="3809"/>
        <n v="3078"/>
        <n v="3432"/>
        <n v="3419"/>
        <n v="3940"/>
        <n v="3507"/>
        <n v="3779"/>
        <n v="3893"/>
        <n v="3061"/>
        <n v="3572"/>
        <n v="3501"/>
        <n v="3042"/>
        <n v="3945"/>
        <n v="3570"/>
        <n v="3865"/>
        <n v="3301"/>
        <n v="3948"/>
        <n v="3268"/>
        <n v="3588"/>
        <n v="3233"/>
        <n v="3091"/>
        <n v="3160"/>
        <m/>
      </sharedItems>
    </cacheField>
    <cacheField name="Fecha Doc" numFmtId="0">
      <sharedItems containsNonDate="0" containsDate="1" containsString="0" containsBlank="1" minDate="2021-04-14T00:00:00" maxDate="2021-05-13T00:00:00"/>
    </cacheField>
    <cacheField name="Cliente" numFmtId="0">
      <sharedItems containsBlank="1" count="6">
        <s v="Microsoft"/>
        <s v="Apple"/>
        <s v="Tesla"/>
        <s v="Bloomberg"/>
        <s v="Samsung"/>
        <m/>
      </sharedItems>
    </cacheField>
    <cacheField name="Numero Cliente" numFmtId="0">
      <sharedItems containsString="0" containsBlank="1" containsNumber="1" containsInteger="1" minValue="200450" maxValue="700250"/>
    </cacheField>
    <cacheField name="Dia de Vencimiento" numFmtId="0">
      <sharedItems containsNonDate="0" containsDate="1" containsString="0" containsBlank="1" minDate="2021-04-21T00:00:00" maxDate="2021-05-05T00:00:00"/>
    </cacheField>
    <cacheField name="Dias Factura" numFmtId="1">
      <sharedItems containsString="0" containsBlank="1" containsNumber="1" containsInteger="1" minValue="-3" maxValue="10"/>
    </cacheField>
    <cacheField name="Valor" numFmtId="44">
      <sharedItems containsString="0" containsBlank="1" containsNumber="1" containsInteger="1" minValue="-918312" maxValue="9720635"/>
    </cacheField>
    <cacheField name="Vencido" numFmtId="0">
      <sharedItems containsString="0" containsBlank="1" containsNumber="1" containsInteger="1" minValue="-836005" maxValue="97206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Factura"/>
    <x v="0"/>
    <d v="2021-04-25T00:00:00"/>
    <x v="0"/>
    <n v="500438"/>
    <d v="2021-04-28T00:00:00"/>
    <n v="3"/>
    <n v="8909735"/>
    <n v="8909735"/>
  </r>
  <r>
    <s v="Factura"/>
    <x v="1"/>
    <d v="2021-04-26T00:00:00"/>
    <x v="0"/>
    <n v="500438"/>
    <d v="2021-04-21T00:00:00"/>
    <n v="10"/>
    <n v="3869848"/>
    <n v="3869848"/>
  </r>
  <r>
    <s v="Factura"/>
    <x v="2"/>
    <d v="2021-05-11T00:00:00"/>
    <x v="0"/>
    <n v="500438"/>
    <d v="2021-04-29T00:00:00"/>
    <n v="2"/>
    <n v="5262335"/>
    <n v="5262335"/>
  </r>
  <r>
    <s v="Factura"/>
    <x v="3"/>
    <d v="2021-05-12T00:00:00"/>
    <x v="0"/>
    <n v="500438"/>
    <d v="2021-05-03T00:00:00"/>
    <n v="-2"/>
    <n v="664804"/>
    <n v="0"/>
  </r>
  <r>
    <s v="Factura"/>
    <x v="4"/>
    <d v="2021-05-06T00:00:00"/>
    <x v="0"/>
    <n v="500438"/>
    <d v="2021-04-28T00:00:00"/>
    <n v="3"/>
    <n v="6444205"/>
    <n v="6444205"/>
  </r>
  <r>
    <s v="Factura"/>
    <x v="5"/>
    <d v="2021-04-21T00:00:00"/>
    <x v="0"/>
    <n v="500438"/>
    <d v="2021-04-24T00:00:00"/>
    <n v="7"/>
    <n v="7714466"/>
    <n v="7714466"/>
  </r>
  <r>
    <s v="Factura"/>
    <x v="6"/>
    <d v="2021-04-18T00:00:00"/>
    <x v="0"/>
    <n v="500438"/>
    <d v="2021-04-24T00:00:00"/>
    <n v="7"/>
    <n v="9144892"/>
    <n v="9144892"/>
  </r>
  <r>
    <s v="Factura"/>
    <x v="7"/>
    <d v="2021-04-23T00:00:00"/>
    <x v="0"/>
    <n v="500438"/>
    <d v="2021-05-02T00:00:00"/>
    <n v="-1"/>
    <n v="8874712"/>
    <n v="0"/>
  </r>
  <r>
    <s v="Factura"/>
    <x v="8"/>
    <d v="2021-04-16T00:00:00"/>
    <x v="0"/>
    <n v="500438"/>
    <d v="2021-04-23T00:00:00"/>
    <n v="8"/>
    <n v="6541768"/>
    <n v="6541768"/>
  </r>
  <r>
    <s v="Factura"/>
    <x v="9"/>
    <d v="2021-04-21T00:00:00"/>
    <x v="0"/>
    <n v="500438"/>
    <d v="2021-04-29T00:00:00"/>
    <n v="2"/>
    <n v="8180393"/>
    <n v="8180393"/>
  </r>
  <r>
    <s v="Factura"/>
    <x v="10"/>
    <d v="2021-04-14T00:00:00"/>
    <x v="1"/>
    <n v="700250"/>
    <d v="2021-05-02T00:00:00"/>
    <n v="-1"/>
    <n v="8347363"/>
    <n v="0"/>
  </r>
  <r>
    <s v="Factura"/>
    <x v="11"/>
    <d v="2021-04-30T00:00:00"/>
    <x v="1"/>
    <n v="700250"/>
    <d v="2021-05-03T00:00:00"/>
    <n v="-2"/>
    <n v="7058521"/>
    <n v="0"/>
  </r>
  <r>
    <s v="Factura"/>
    <x v="12"/>
    <d v="2021-04-28T00:00:00"/>
    <x v="1"/>
    <n v="700250"/>
    <d v="2021-04-26T00:00:00"/>
    <n v="5"/>
    <n v="751067"/>
    <n v="751067"/>
  </r>
  <r>
    <s v="Factura"/>
    <x v="13"/>
    <d v="2021-04-15T00:00:00"/>
    <x v="1"/>
    <n v="700250"/>
    <d v="2021-04-26T00:00:00"/>
    <n v="5"/>
    <n v="9028292"/>
    <n v="9028292"/>
  </r>
  <r>
    <s v="Factura"/>
    <x v="9"/>
    <d v="2021-05-07T00:00:00"/>
    <x v="1"/>
    <n v="700250"/>
    <d v="2021-04-29T00:00:00"/>
    <n v="2"/>
    <n v="1757670"/>
    <n v="1757670"/>
  </r>
  <r>
    <s v="Factura"/>
    <x v="14"/>
    <d v="2021-04-15T00:00:00"/>
    <x v="1"/>
    <n v="700250"/>
    <d v="2021-05-04T00:00:00"/>
    <n v="-3"/>
    <n v="3302152"/>
    <n v="0"/>
  </r>
  <r>
    <s v="Factura"/>
    <x v="15"/>
    <d v="2021-04-21T00:00:00"/>
    <x v="1"/>
    <n v="700250"/>
    <d v="2021-04-21T00:00:00"/>
    <n v="10"/>
    <n v="4175574"/>
    <n v="4175574"/>
  </r>
  <r>
    <s v="Factura"/>
    <x v="16"/>
    <d v="2021-04-19T00:00:00"/>
    <x v="1"/>
    <n v="700250"/>
    <d v="2021-05-01T00:00:00"/>
    <n v="0"/>
    <n v="7225170"/>
    <n v="0"/>
  </r>
  <r>
    <s v="Factura"/>
    <x v="17"/>
    <d v="2021-04-15T00:00:00"/>
    <x v="1"/>
    <n v="700250"/>
    <d v="2021-04-26T00:00:00"/>
    <n v="5"/>
    <n v="4040781"/>
    <n v="4040781"/>
  </r>
  <r>
    <s v="Factura"/>
    <x v="18"/>
    <d v="2021-04-24T00:00:00"/>
    <x v="1"/>
    <n v="700250"/>
    <d v="2021-04-23T00:00:00"/>
    <n v="8"/>
    <n v="2268594"/>
    <n v="2268594"/>
  </r>
  <r>
    <s v="Factura"/>
    <x v="19"/>
    <d v="2021-04-26T00:00:00"/>
    <x v="2"/>
    <n v="660340"/>
    <d v="2021-04-30T00:00:00"/>
    <n v="1"/>
    <n v="1515284"/>
    <n v="0"/>
  </r>
  <r>
    <s v="Factura"/>
    <x v="20"/>
    <d v="2021-05-02T00:00:00"/>
    <x v="2"/>
    <n v="660340"/>
    <d v="2021-05-04T00:00:00"/>
    <n v="-3"/>
    <n v="4579846"/>
    <n v="0"/>
  </r>
  <r>
    <s v="Factura"/>
    <x v="21"/>
    <d v="2021-05-02T00:00:00"/>
    <x v="2"/>
    <n v="660340"/>
    <d v="2021-04-22T00:00:00"/>
    <n v="9"/>
    <n v="9720635"/>
    <n v="9720635"/>
  </r>
  <r>
    <s v="Factura"/>
    <x v="22"/>
    <d v="2021-04-28T00:00:00"/>
    <x v="2"/>
    <n v="660340"/>
    <d v="2021-04-26T00:00:00"/>
    <n v="5"/>
    <n v="2570818"/>
    <n v="2570818"/>
  </r>
  <r>
    <s v="Factura"/>
    <x v="23"/>
    <d v="2021-05-07T00:00:00"/>
    <x v="2"/>
    <n v="660340"/>
    <d v="2021-04-26T00:00:00"/>
    <n v="5"/>
    <n v="3580774"/>
    <n v="3580774"/>
  </r>
  <r>
    <s v="Factura"/>
    <x v="24"/>
    <d v="2021-04-26T00:00:00"/>
    <x v="2"/>
    <n v="660340"/>
    <d v="2021-05-04T00:00:00"/>
    <n v="-3"/>
    <n v="7209105"/>
    <n v="0"/>
  </r>
  <r>
    <s v="Factura"/>
    <x v="25"/>
    <d v="2021-04-16T00:00:00"/>
    <x v="2"/>
    <n v="660340"/>
    <d v="2021-04-26T00:00:00"/>
    <n v="5"/>
    <n v="1271293"/>
    <n v="1271293"/>
  </r>
  <r>
    <s v="Factura"/>
    <x v="26"/>
    <d v="2021-04-17T00:00:00"/>
    <x v="2"/>
    <n v="660340"/>
    <d v="2021-05-02T00:00:00"/>
    <n v="-1"/>
    <n v="9041166"/>
    <n v="0"/>
  </r>
  <r>
    <s v="Factura"/>
    <x v="27"/>
    <d v="2021-05-02T00:00:00"/>
    <x v="2"/>
    <n v="660340"/>
    <d v="2021-04-25T00:00:00"/>
    <n v="6"/>
    <n v="3226020"/>
    <n v="3226020"/>
  </r>
  <r>
    <s v="Factura"/>
    <x v="28"/>
    <d v="2021-04-28T00:00:00"/>
    <x v="2"/>
    <n v="660340"/>
    <d v="2021-04-24T00:00:00"/>
    <n v="7"/>
    <n v="922697"/>
    <n v="922697"/>
  </r>
  <r>
    <s v="Factura"/>
    <x v="29"/>
    <d v="2021-05-11T00:00:00"/>
    <x v="3"/>
    <n v="200450"/>
    <d v="2021-04-27T00:00:00"/>
    <n v="4"/>
    <n v="6465583"/>
    <n v="6465583"/>
  </r>
  <r>
    <s v="Factura"/>
    <x v="30"/>
    <d v="2021-04-19T00:00:00"/>
    <x v="3"/>
    <n v="200450"/>
    <d v="2021-05-02T00:00:00"/>
    <n v="-1"/>
    <n v="3124840"/>
    <n v="0"/>
  </r>
  <r>
    <s v="Factura"/>
    <x v="31"/>
    <d v="2021-05-10T00:00:00"/>
    <x v="3"/>
    <n v="200450"/>
    <d v="2021-04-26T00:00:00"/>
    <n v="5"/>
    <n v="4911089"/>
    <n v="4911089"/>
  </r>
  <r>
    <s v="Pago"/>
    <x v="32"/>
    <d v="2021-05-05T00:00:00"/>
    <x v="3"/>
    <n v="200450"/>
    <d v="2021-04-25T00:00:00"/>
    <n v="6"/>
    <n v="-517595"/>
    <n v="-517595"/>
  </r>
  <r>
    <s v="Factura"/>
    <x v="33"/>
    <d v="2021-05-07T00:00:00"/>
    <x v="3"/>
    <n v="200450"/>
    <d v="2021-05-04T00:00:00"/>
    <n v="-3"/>
    <n v="463461"/>
    <n v="0"/>
  </r>
  <r>
    <s v="Factura"/>
    <x v="34"/>
    <d v="2021-05-01T00:00:00"/>
    <x v="3"/>
    <n v="200450"/>
    <d v="2021-04-27T00:00:00"/>
    <n v="4"/>
    <n v="2978821"/>
    <n v="2978821"/>
  </r>
  <r>
    <s v="Factura"/>
    <x v="35"/>
    <d v="2021-04-30T00:00:00"/>
    <x v="3"/>
    <n v="200450"/>
    <d v="2021-04-23T00:00:00"/>
    <n v="8"/>
    <n v="9324464"/>
    <n v="9324464"/>
  </r>
  <r>
    <s v="Factura"/>
    <x v="36"/>
    <d v="2021-04-23T00:00:00"/>
    <x v="3"/>
    <n v="200450"/>
    <d v="2021-05-03T00:00:00"/>
    <n v="-2"/>
    <n v="6476346"/>
    <n v="0"/>
  </r>
  <r>
    <s v="Factura"/>
    <x v="37"/>
    <d v="2021-04-20T00:00:00"/>
    <x v="3"/>
    <n v="200450"/>
    <d v="2021-05-02T00:00:00"/>
    <n v="-1"/>
    <n v="4237006"/>
    <n v="0"/>
  </r>
  <r>
    <s v="Factura"/>
    <x v="38"/>
    <d v="2021-05-04T00:00:00"/>
    <x v="3"/>
    <n v="200450"/>
    <d v="2021-05-04T00:00:00"/>
    <n v="-3"/>
    <n v="9667262"/>
    <n v="0"/>
  </r>
  <r>
    <s v="Pago"/>
    <x v="39"/>
    <d v="2021-04-18T00:00:00"/>
    <x v="4"/>
    <n v="354100"/>
    <d v="2021-04-27T00:00:00"/>
    <n v="4"/>
    <n v="-836005"/>
    <n v="-836005"/>
  </r>
  <r>
    <s v="Pago"/>
    <x v="40"/>
    <d v="2021-05-10T00:00:00"/>
    <x v="4"/>
    <n v="354100"/>
    <d v="2021-05-01T00:00:00"/>
    <n v="0"/>
    <n v="-918312"/>
    <n v="0"/>
  </r>
  <r>
    <s v="Factura"/>
    <x v="41"/>
    <d v="2021-05-05T00:00:00"/>
    <x v="4"/>
    <n v="354100"/>
    <d v="2021-04-29T00:00:00"/>
    <n v="2"/>
    <n v="6693143"/>
    <n v="6693143"/>
  </r>
  <r>
    <s v="Pago"/>
    <x v="42"/>
    <d v="2021-04-14T00:00:00"/>
    <x v="4"/>
    <n v="354100"/>
    <d v="2021-04-21T00:00:00"/>
    <n v="10"/>
    <n v="-93464"/>
    <n v="-93464"/>
  </r>
  <r>
    <s v="Factura"/>
    <x v="43"/>
    <d v="2021-04-14T00:00:00"/>
    <x v="4"/>
    <n v="354100"/>
    <d v="2021-05-03T00:00:00"/>
    <n v="-2"/>
    <n v="7456547"/>
    <n v="0"/>
  </r>
  <r>
    <s v="Factura"/>
    <x v="44"/>
    <d v="2021-05-03T00:00:00"/>
    <x v="4"/>
    <n v="354100"/>
    <d v="2021-04-22T00:00:00"/>
    <n v="9"/>
    <n v="7335039"/>
    <n v="7335039"/>
  </r>
  <r>
    <s v="Factura"/>
    <x v="20"/>
    <d v="2021-04-25T00:00:00"/>
    <x v="4"/>
    <n v="354100"/>
    <d v="2021-04-28T00:00:00"/>
    <n v="3"/>
    <n v="3171437"/>
    <n v="3171437"/>
  </r>
  <r>
    <s v="Factura"/>
    <x v="45"/>
    <d v="2021-04-29T00:00:00"/>
    <x v="4"/>
    <n v="354100"/>
    <d v="2021-04-28T00:00:00"/>
    <n v="3"/>
    <n v="2008293"/>
    <n v="2008293"/>
  </r>
  <r>
    <s v="Factura"/>
    <x v="46"/>
    <d v="2021-04-24T00:00:00"/>
    <x v="4"/>
    <n v="354100"/>
    <d v="2021-04-28T00:00:00"/>
    <n v="3"/>
    <n v="1272224"/>
    <n v="1272224"/>
  </r>
  <r>
    <m/>
    <x v="47"/>
    <m/>
    <x v="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B30-418B-4461-BBF5-24F3F571FFFB}" name="TablaDinámica2" cacheId="23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Numero de factura">
  <location ref="C11:H22" firstHeaderRow="0" firstDataRow="1" firstDataCol="1" rowPageCount="1" colPageCount="1"/>
  <pivotFields count="9">
    <pivotField showAll="0"/>
    <pivotField axis="axisRow" showAll="0">
      <items count="49">
        <item x="36"/>
        <item x="21"/>
        <item x="14"/>
        <item x="33"/>
        <item x="26"/>
        <item x="45"/>
        <item x="3"/>
        <item x="46"/>
        <item x="10"/>
        <item x="44"/>
        <item x="15"/>
        <item x="23"/>
        <item x="5"/>
        <item x="42"/>
        <item x="40"/>
        <item x="6"/>
        <item x="1"/>
        <item x="16"/>
        <item x="28"/>
        <item x="27"/>
        <item x="19"/>
        <item x="7"/>
        <item x="24"/>
        <item x="13"/>
        <item x="35"/>
        <item x="8"/>
        <item x="30"/>
        <item x="17"/>
        <item x="38"/>
        <item x="34"/>
        <item x="43"/>
        <item x="9"/>
        <item x="2"/>
        <item x="11"/>
        <item x="0"/>
        <item x="31"/>
        <item x="22"/>
        <item x="25"/>
        <item x="18"/>
        <item x="39"/>
        <item x="4"/>
        <item x="32"/>
        <item x="20"/>
        <item x="29"/>
        <item x="37"/>
        <item x="41"/>
        <item x="12"/>
        <item x="47"/>
        <item t="default"/>
      </items>
    </pivotField>
    <pivotField dataField="1" showAll="0"/>
    <pivotField axis="axisPage" showAll="0">
      <items count="7">
        <item x="1"/>
        <item x="3"/>
        <item x="0"/>
        <item x="4"/>
        <item x="2"/>
        <item x="5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1">
    <i>
      <x v="6"/>
    </i>
    <i>
      <x v="12"/>
    </i>
    <i>
      <x v="15"/>
    </i>
    <i>
      <x v="16"/>
    </i>
    <i>
      <x v="21"/>
    </i>
    <i>
      <x v="25"/>
    </i>
    <i>
      <x v="31"/>
    </i>
    <i>
      <x v="32"/>
    </i>
    <i>
      <x v="34"/>
    </i>
    <i>
      <x v="4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3" item="2" hier="-1"/>
  </pageFields>
  <dataFields count="5">
    <dataField name="Suma de Fecha Doc" fld="2" baseField="1" baseItem="0" numFmtId="14"/>
    <dataField name="Suma de Dia de Vencimiento" fld="5" baseField="1" baseItem="0"/>
    <dataField name="Suma de Dias Factura" fld="6" baseField="0" baseItem="0"/>
    <dataField name="Suma de Vencido" fld="8" baseField="0" baseItem="0"/>
    <dataField name="Suma de Valor" fld="7" baseField="0" baseItem="0"/>
  </dataFields>
  <formats count="9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dataOnly="0" labelOnly="1" fieldPosition="0">
        <references count="1">
          <reference field="1" count="4">
            <x v="6"/>
            <x v="12"/>
            <x v="15"/>
            <x v="16"/>
          </reference>
        </references>
      </pivotArea>
    </format>
    <format dxfId="1">
      <pivotArea field="1" type="button" dataOnly="0" labelOnly="1" outline="0" axis="axisRow" fieldPosition="0"/>
    </format>
    <format dxfId="0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Carolina@xiaomi.com" TargetMode="External"/><Relationship Id="rId3" Type="http://schemas.openxmlformats.org/officeDocument/2006/relationships/hyperlink" Target="mailto:marta@Tesla.com" TargetMode="External"/><Relationship Id="rId7" Type="http://schemas.openxmlformats.org/officeDocument/2006/relationships/hyperlink" Target="mailto:Adrian@xiaomi.com" TargetMode="External"/><Relationship Id="rId2" Type="http://schemas.openxmlformats.org/officeDocument/2006/relationships/hyperlink" Target="mailto:ricardo@Apple.com" TargetMode="External"/><Relationship Id="rId1" Type="http://schemas.openxmlformats.org/officeDocument/2006/relationships/hyperlink" Target="mailto:adolfo@Microsoft.com" TargetMode="External"/><Relationship Id="rId6" Type="http://schemas.openxmlformats.org/officeDocument/2006/relationships/hyperlink" Target="mailto:Pablo@xiaomi.com" TargetMode="External"/><Relationship Id="rId5" Type="http://schemas.openxmlformats.org/officeDocument/2006/relationships/hyperlink" Target="mailto:humberto@Samsung.com" TargetMode="External"/><Relationship Id="rId10" Type="http://schemas.openxmlformats.org/officeDocument/2006/relationships/hyperlink" Target="mailto:Diana@xiaomi.com" TargetMode="External"/><Relationship Id="rId4" Type="http://schemas.openxmlformats.org/officeDocument/2006/relationships/hyperlink" Target="mailto:daniela@Bloomberg.com" TargetMode="External"/><Relationship Id="rId9" Type="http://schemas.openxmlformats.org/officeDocument/2006/relationships/hyperlink" Target="mailto:Daniel@xiaomi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8898D-058C-4FC3-8D82-34AE9149B38E}">
  <sheetPr codeName="Hoja1"/>
  <dimension ref="A1:J50"/>
  <sheetViews>
    <sheetView showGridLines="0" workbookViewId="0">
      <selection activeCell="C58" sqref="C58"/>
    </sheetView>
  </sheetViews>
  <sheetFormatPr baseColWidth="10" defaultRowHeight="14.5" x14ac:dyDescent="0.35"/>
  <cols>
    <col min="1" max="2" width="17.7265625" style="3" customWidth="1"/>
    <col min="3" max="3" width="16.1796875" style="3" customWidth="1"/>
    <col min="4" max="4" width="19.7265625" style="3" customWidth="1"/>
    <col min="5" max="5" width="17.36328125" style="3" customWidth="1"/>
    <col min="6" max="6" width="19.26953125" style="3" customWidth="1"/>
    <col min="7" max="7" width="12.1796875" style="5" customWidth="1"/>
    <col min="8" max="8" width="14.6328125" style="6" customWidth="1"/>
    <col min="9" max="9" width="17.453125" customWidth="1"/>
  </cols>
  <sheetData>
    <row r="1" spans="1:10" x14ac:dyDescent="0.35">
      <c r="A1" s="3" t="s">
        <v>0</v>
      </c>
      <c r="B1" s="3" t="s">
        <v>46</v>
      </c>
      <c r="C1" s="3" t="s">
        <v>1</v>
      </c>
      <c r="D1" s="3" t="s">
        <v>2</v>
      </c>
      <c r="E1" s="3" t="s">
        <v>3</v>
      </c>
      <c r="F1" s="3" t="s">
        <v>4</v>
      </c>
      <c r="G1" s="5" t="s">
        <v>5</v>
      </c>
      <c r="H1" s="11" t="s">
        <v>12</v>
      </c>
      <c r="I1" s="3" t="s">
        <v>17</v>
      </c>
    </row>
    <row r="2" spans="1:10" x14ac:dyDescent="0.35">
      <c r="A2" s="3" t="s">
        <v>6</v>
      </c>
      <c r="B2" s="3">
        <v>3757</v>
      </c>
      <c r="C2" s="4">
        <v>44311</v>
      </c>
      <c r="D2" s="3" t="s">
        <v>7</v>
      </c>
      <c r="E2" s="3">
        <v>500438</v>
      </c>
      <c r="F2" s="4">
        <v>44314</v>
      </c>
      <c r="G2" s="5">
        <f ca="1">+CORREO!$A$1-FACTURAS!F2</f>
        <v>3</v>
      </c>
      <c r="H2" s="6">
        <v>8909735</v>
      </c>
      <c r="I2" s="6">
        <f ca="1">+IF(G2&gt;1,H2,0)</f>
        <v>8909735</v>
      </c>
    </row>
    <row r="3" spans="1:10" x14ac:dyDescent="0.35">
      <c r="A3" s="3" t="s">
        <v>6</v>
      </c>
      <c r="B3" s="3">
        <v>3383</v>
      </c>
      <c r="C3" s="4">
        <v>44312</v>
      </c>
      <c r="D3" s="3" t="s">
        <v>7</v>
      </c>
      <c r="E3" s="3">
        <v>500438</v>
      </c>
      <c r="F3" s="4">
        <v>44307</v>
      </c>
      <c r="G3" s="5">
        <f ca="1">+CORREO!$A$1-FACTURAS!F3</f>
        <v>10</v>
      </c>
      <c r="H3" s="6">
        <v>3869848</v>
      </c>
      <c r="I3" s="6">
        <f t="shared" ref="I3:I50" ca="1" si="0">+IF(G3&gt;1,H3,0)</f>
        <v>3869848</v>
      </c>
    </row>
    <row r="4" spans="1:10" x14ac:dyDescent="0.35">
      <c r="A4" s="3" t="s">
        <v>6</v>
      </c>
      <c r="B4" s="3">
        <v>3677</v>
      </c>
      <c r="C4" s="4">
        <v>44327</v>
      </c>
      <c r="D4" s="3" t="s">
        <v>7</v>
      </c>
      <c r="E4" s="3">
        <v>500438</v>
      </c>
      <c r="F4" s="4">
        <v>44315</v>
      </c>
      <c r="G4" s="5">
        <f ca="1">+CORREO!$A$1-FACTURAS!F4</f>
        <v>2</v>
      </c>
      <c r="H4" s="6">
        <v>5262335</v>
      </c>
      <c r="I4" s="6">
        <f t="shared" ca="1" si="0"/>
        <v>5262335</v>
      </c>
    </row>
    <row r="5" spans="1:10" x14ac:dyDescent="0.35">
      <c r="A5" s="3" t="s">
        <v>6</v>
      </c>
      <c r="B5" s="3">
        <v>3115</v>
      </c>
      <c r="C5" s="4">
        <v>44328</v>
      </c>
      <c r="D5" s="3" t="s">
        <v>7</v>
      </c>
      <c r="E5" s="3">
        <v>500438</v>
      </c>
      <c r="F5" s="4">
        <v>44319</v>
      </c>
      <c r="G5" s="5">
        <f ca="1">+CORREO!$A$1-FACTURAS!F5</f>
        <v>-2</v>
      </c>
      <c r="H5" s="6">
        <v>664804</v>
      </c>
      <c r="I5" s="6">
        <f t="shared" ca="1" si="0"/>
        <v>0</v>
      </c>
    </row>
    <row r="6" spans="1:10" x14ac:dyDescent="0.35">
      <c r="A6" s="3" t="s">
        <v>6</v>
      </c>
      <c r="B6" s="3">
        <v>3885</v>
      </c>
      <c r="C6" s="4">
        <v>44322</v>
      </c>
      <c r="D6" s="3" t="s">
        <v>7</v>
      </c>
      <c r="E6" s="3">
        <v>500438</v>
      </c>
      <c r="F6" s="4">
        <v>44314</v>
      </c>
      <c r="G6" s="5">
        <f ca="1">+CORREO!$A$1-FACTURAS!F6</f>
        <v>3</v>
      </c>
      <c r="H6" s="6">
        <v>6444205</v>
      </c>
      <c r="I6" s="6">
        <f t="shared" ca="1" si="0"/>
        <v>6444205</v>
      </c>
    </row>
    <row r="7" spans="1:10" x14ac:dyDescent="0.35">
      <c r="A7" s="3" t="s">
        <v>6</v>
      </c>
      <c r="B7" s="3">
        <v>3266</v>
      </c>
      <c r="C7" s="4">
        <v>44307</v>
      </c>
      <c r="D7" s="3" t="s">
        <v>7</v>
      </c>
      <c r="E7" s="3">
        <v>500438</v>
      </c>
      <c r="F7" s="4">
        <v>44310</v>
      </c>
      <c r="G7" s="5">
        <f ca="1">+CORREO!$A$1-FACTURAS!F7</f>
        <v>7</v>
      </c>
      <c r="H7" s="6">
        <v>7714466</v>
      </c>
      <c r="I7" s="6">
        <f t="shared" ca="1" si="0"/>
        <v>7714466</v>
      </c>
    </row>
    <row r="8" spans="1:10" x14ac:dyDescent="0.35">
      <c r="A8" s="3" t="s">
        <v>6</v>
      </c>
      <c r="B8" s="3">
        <v>3379</v>
      </c>
      <c r="C8" s="4">
        <v>44304</v>
      </c>
      <c r="D8" s="3" t="s">
        <v>7</v>
      </c>
      <c r="E8" s="3">
        <v>500438</v>
      </c>
      <c r="F8" s="4">
        <v>44310</v>
      </c>
      <c r="G8" s="5">
        <f ca="1">+CORREO!$A$1-FACTURAS!F8</f>
        <v>7</v>
      </c>
      <c r="H8" s="6">
        <v>9144892</v>
      </c>
      <c r="I8" s="6">
        <f t="shared" ca="1" si="0"/>
        <v>9144892</v>
      </c>
    </row>
    <row r="9" spans="1:10" x14ac:dyDescent="0.35">
      <c r="A9" s="3" t="s">
        <v>6</v>
      </c>
      <c r="B9" s="3">
        <v>3461</v>
      </c>
      <c r="C9" s="4">
        <v>44309</v>
      </c>
      <c r="D9" s="3" t="s">
        <v>7</v>
      </c>
      <c r="E9" s="3">
        <v>500438</v>
      </c>
      <c r="F9" s="4">
        <v>44318</v>
      </c>
      <c r="G9" s="5">
        <f ca="1">+CORREO!$A$1-FACTURAS!F9</f>
        <v>-1</v>
      </c>
      <c r="H9" s="6">
        <v>8874712</v>
      </c>
      <c r="I9" s="6">
        <f t="shared" ca="1" si="0"/>
        <v>0</v>
      </c>
    </row>
    <row r="10" spans="1:10" x14ac:dyDescent="0.35">
      <c r="A10" s="3" t="s">
        <v>6</v>
      </c>
      <c r="B10" s="3">
        <v>3503</v>
      </c>
      <c r="C10" s="4">
        <v>44302</v>
      </c>
      <c r="D10" s="3" t="s">
        <v>7</v>
      </c>
      <c r="E10" s="3">
        <v>500438</v>
      </c>
      <c r="F10" s="4">
        <v>44309</v>
      </c>
      <c r="G10" s="5">
        <f ca="1">+CORREO!$A$1-FACTURAS!F10</f>
        <v>8</v>
      </c>
      <c r="H10" s="6">
        <v>6541768</v>
      </c>
      <c r="I10" s="6">
        <f t="shared" ca="1" si="0"/>
        <v>6541768</v>
      </c>
      <c r="J10" s="2"/>
    </row>
    <row r="11" spans="1:10" x14ac:dyDescent="0.35">
      <c r="A11" s="3" t="s">
        <v>6</v>
      </c>
      <c r="B11" s="3">
        <v>3665</v>
      </c>
      <c r="C11" s="4">
        <v>44307</v>
      </c>
      <c r="D11" s="3" t="s">
        <v>7</v>
      </c>
      <c r="E11" s="3">
        <v>500438</v>
      </c>
      <c r="F11" s="4">
        <v>44315</v>
      </c>
      <c r="G11" s="5">
        <f ca="1">+CORREO!$A$1-FACTURAS!F11</f>
        <v>2</v>
      </c>
      <c r="H11" s="6">
        <v>8180393</v>
      </c>
      <c r="I11" s="6">
        <f t="shared" ca="1" si="0"/>
        <v>8180393</v>
      </c>
    </row>
    <row r="12" spans="1:10" x14ac:dyDescent="0.35">
      <c r="A12" s="3" t="s">
        <v>6</v>
      </c>
      <c r="B12" s="3">
        <v>3183</v>
      </c>
      <c r="C12" s="4">
        <v>44300</v>
      </c>
      <c r="D12" s="3" t="s">
        <v>8</v>
      </c>
      <c r="E12" s="3">
        <v>700250</v>
      </c>
      <c r="F12" s="4">
        <v>44318</v>
      </c>
      <c r="G12" s="5">
        <f ca="1">+CORREO!$A$1-FACTURAS!F12</f>
        <v>-1</v>
      </c>
      <c r="H12" s="6">
        <v>8347363</v>
      </c>
      <c r="I12" s="6">
        <f t="shared" ca="1" si="0"/>
        <v>0</v>
      </c>
    </row>
    <row r="13" spans="1:10" x14ac:dyDescent="0.35">
      <c r="A13" s="3" t="s">
        <v>6</v>
      </c>
      <c r="B13" s="3">
        <v>3686</v>
      </c>
      <c r="C13" s="4">
        <v>44316</v>
      </c>
      <c r="D13" s="3" t="s">
        <v>8</v>
      </c>
      <c r="E13" s="3">
        <v>700250</v>
      </c>
      <c r="F13" s="4">
        <v>44319</v>
      </c>
      <c r="G13" s="5">
        <f ca="1">+CORREO!$A$1-FACTURAS!F13</f>
        <v>-2</v>
      </c>
      <c r="H13" s="6">
        <v>7058521</v>
      </c>
      <c r="I13" s="6">
        <f t="shared" ca="1" si="0"/>
        <v>0</v>
      </c>
    </row>
    <row r="14" spans="1:10" x14ac:dyDescent="0.35">
      <c r="A14" s="3" t="s">
        <v>6</v>
      </c>
      <c r="B14" s="3">
        <v>3966</v>
      </c>
      <c r="C14" s="4">
        <v>44314</v>
      </c>
      <c r="D14" s="3" t="s">
        <v>8</v>
      </c>
      <c r="E14" s="3">
        <v>700250</v>
      </c>
      <c r="F14" s="4">
        <v>44312</v>
      </c>
      <c r="G14" s="5">
        <f ca="1">+CORREO!$A$1-FACTURAS!F14</f>
        <v>5</v>
      </c>
      <c r="H14" s="6">
        <v>751067</v>
      </c>
      <c r="I14" s="6">
        <f t="shared" ca="1" si="0"/>
        <v>751067</v>
      </c>
    </row>
    <row r="15" spans="1:10" x14ac:dyDescent="0.35">
      <c r="A15" s="3" t="s">
        <v>6</v>
      </c>
      <c r="B15" s="3">
        <v>3468</v>
      </c>
      <c r="C15" s="4">
        <v>44301</v>
      </c>
      <c r="D15" s="3" t="s">
        <v>8</v>
      </c>
      <c r="E15" s="3">
        <v>700250</v>
      </c>
      <c r="F15" s="4">
        <v>44312</v>
      </c>
      <c r="G15" s="5">
        <f ca="1">+CORREO!$A$1-FACTURAS!F15</f>
        <v>5</v>
      </c>
      <c r="H15" s="6">
        <v>9028292</v>
      </c>
      <c r="I15" s="6">
        <f t="shared" ca="1" si="0"/>
        <v>9028292</v>
      </c>
    </row>
    <row r="16" spans="1:10" x14ac:dyDescent="0.35">
      <c r="A16" s="3" t="s">
        <v>6</v>
      </c>
      <c r="B16" s="3">
        <v>3665</v>
      </c>
      <c r="C16" s="4">
        <v>44323</v>
      </c>
      <c r="D16" s="3" t="s">
        <v>8</v>
      </c>
      <c r="E16" s="3">
        <v>700250</v>
      </c>
      <c r="F16" s="4">
        <v>44315</v>
      </c>
      <c r="G16" s="5">
        <f ca="1">+CORREO!$A$1-FACTURAS!F16</f>
        <v>2</v>
      </c>
      <c r="H16" s="6">
        <v>1757670</v>
      </c>
      <c r="I16" s="6">
        <f t="shared" ca="1" si="0"/>
        <v>1757670</v>
      </c>
    </row>
    <row r="17" spans="1:9" x14ac:dyDescent="0.35">
      <c r="A17" s="3" t="s">
        <v>6</v>
      </c>
      <c r="B17" s="3">
        <v>3049</v>
      </c>
      <c r="C17" s="4">
        <v>44301</v>
      </c>
      <c r="D17" s="3" t="s">
        <v>8</v>
      </c>
      <c r="E17" s="3">
        <v>700250</v>
      </c>
      <c r="F17" s="4">
        <v>44320</v>
      </c>
      <c r="G17" s="5">
        <f ca="1">+CORREO!$A$1-FACTURAS!F17</f>
        <v>-3</v>
      </c>
      <c r="H17" s="6">
        <v>3302152</v>
      </c>
      <c r="I17" s="6">
        <f t="shared" ca="1" si="0"/>
        <v>0</v>
      </c>
    </row>
    <row r="18" spans="1:9" x14ac:dyDescent="0.35">
      <c r="A18" s="3" t="s">
        <v>6</v>
      </c>
      <c r="B18" s="3">
        <v>3235</v>
      </c>
      <c r="C18" s="4">
        <v>44307</v>
      </c>
      <c r="D18" s="3" t="s">
        <v>8</v>
      </c>
      <c r="E18" s="3">
        <v>700250</v>
      </c>
      <c r="F18" s="4">
        <v>44307</v>
      </c>
      <c r="G18" s="5">
        <f ca="1">+CORREO!$A$1-FACTURAS!F18</f>
        <v>10</v>
      </c>
      <c r="H18" s="6">
        <v>4175574</v>
      </c>
      <c r="I18" s="6">
        <f t="shared" ca="1" si="0"/>
        <v>4175574</v>
      </c>
    </row>
    <row r="19" spans="1:9" x14ac:dyDescent="0.35">
      <c r="A19" s="3" t="s">
        <v>6</v>
      </c>
      <c r="B19" s="3">
        <v>3416</v>
      </c>
      <c r="C19" s="4">
        <v>44305</v>
      </c>
      <c r="D19" s="3" t="s">
        <v>8</v>
      </c>
      <c r="E19" s="3">
        <v>700250</v>
      </c>
      <c r="F19" s="4">
        <v>44317</v>
      </c>
      <c r="G19" s="5">
        <f ca="1">+CORREO!$A$1-FACTURAS!F19</f>
        <v>0</v>
      </c>
      <c r="H19" s="6">
        <v>7225170</v>
      </c>
      <c r="I19" s="6">
        <f t="shared" ca="1" si="0"/>
        <v>0</v>
      </c>
    </row>
    <row r="20" spans="1:9" x14ac:dyDescent="0.35">
      <c r="A20" s="3" t="s">
        <v>6</v>
      </c>
      <c r="B20" s="3">
        <v>3529</v>
      </c>
      <c r="C20" s="4">
        <v>44301</v>
      </c>
      <c r="D20" s="3" t="s">
        <v>8</v>
      </c>
      <c r="E20" s="3">
        <v>700250</v>
      </c>
      <c r="F20" s="4">
        <v>44312</v>
      </c>
      <c r="G20" s="5">
        <f ca="1">+CORREO!$A$1-FACTURAS!F20</f>
        <v>5</v>
      </c>
      <c r="H20" s="6">
        <v>4040781</v>
      </c>
      <c r="I20" s="6">
        <f t="shared" ca="1" si="0"/>
        <v>4040781</v>
      </c>
    </row>
    <row r="21" spans="1:9" x14ac:dyDescent="0.35">
      <c r="A21" s="3" t="s">
        <v>6</v>
      </c>
      <c r="B21" s="3">
        <v>3823</v>
      </c>
      <c r="C21" s="4">
        <v>44310</v>
      </c>
      <c r="D21" s="3" t="s">
        <v>8</v>
      </c>
      <c r="E21" s="3">
        <v>700250</v>
      </c>
      <c r="F21" s="4">
        <v>44309</v>
      </c>
      <c r="G21" s="5">
        <f ca="1">+CORREO!$A$1-FACTURAS!F21</f>
        <v>8</v>
      </c>
      <c r="H21" s="6">
        <v>2268594</v>
      </c>
      <c r="I21" s="6">
        <f t="shared" ca="1" si="0"/>
        <v>2268594</v>
      </c>
    </row>
    <row r="22" spans="1:9" x14ac:dyDescent="0.35">
      <c r="A22" s="3" t="s">
        <v>6</v>
      </c>
      <c r="B22" s="3">
        <v>3440</v>
      </c>
      <c r="C22" s="4">
        <v>44312</v>
      </c>
      <c r="D22" s="3" t="s">
        <v>9</v>
      </c>
      <c r="E22" s="3">
        <v>660340</v>
      </c>
      <c r="F22" s="4">
        <v>44316</v>
      </c>
      <c r="G22" s="5">
        <f ca="1">+CORREO!$A$1-FACTURAS!F22</f>
        <v>1</v>
      </c>
      <c r="H22" s="6">
        <v>1515284</v>
      </c>
      <c r="I22" s="6">
        <f t="shared" ca="1" si="0"/>
        <v>0</v>
      </c>
    </row>
    <row r="23" spans="1:9" x14ac:dyDescent="0.35">
      <c r="A23" s="3" t="s">
        <v>6</v>
      </c>
      <c r="B23" s="3">
        <v>3910</v>
      </c>
      <c r="C23" s="4">
        <v>44318</v>
      </c>
      <c r="D23" s="3" t="s">
        <v>9</v>
      </c>
      <c r="E23" s="3">
        <v>660340</v>
      </c>
      <c r="F23" s="4">
        <v>44320</v>
      </c>
      <c r="G23" s="5">
        <f ca="1">+CORREO!$A$1-FACTURAS!F23</f>
        <v>-3</v>
      </c>
      <c r="H23" s="6">
        <v>4579846</v>
      </c>
      <c r="I23" s="6">
        <f t="shared" ca="1" si="0"/>
        <v>0</v>
      </c>
    </row>
    <row r="24" spans="1:9" x14ac:dyDescent="0.35">
      <c r="A24" s="3" t="s">
        <v>6</v>
      </c>
      <c r="B24" s="3">
        <v>3044</v>
      </c>
      <c r="C24" s="4">
        <v>44318</v>
      </c>
      <c r="D24" s="3" t="s">
        <v>9</v>
      </c>
      <c r="E24" s="3">
        <v>660340</v>
      </c>
      <c r="F24" s="4">
        <v>44308</v>
      </c>
      <c r="G24" s="5">
        <f ca="1">+CORREO!$A$1-FACTURAS!F24</f>
        <v>9</v>
      </c>
      <c r="H24" s="6">
        <v>9720635</v>
      </c>
      <c r="I24" s="6">
        <f t="shared" ca="1" si="0"/>
        <v>9720635</v>
      </c>
    </row>
    <row r="25" spans="1:9" x14ac:dyDescent="0.35">
      <c r="A25" s="3" t="s">
        <v>6</v>
      </c>
      <c r="B25" s="3">
        <v>3795</v>
      </c>
      <c r="C25" s="4">
        <v>44314</v>
      </c>
      <c r="D25" s="3" t="s">
        <v>9</v>
      </c>
      <c r="E25" s="3">
        <v>660340</v>
      </c>
      <c r="F25" s="4">
        <v>44312</v>
      </c>
      <c r="G25" s="5">
        <f ca="1">+CORREO!$A$1-FACTURAS!F25</f>
        <v>5</v>
      </c>
      <c r="H25" s="6">
        <v>2570818</v>
      </c>
      <c r="I25" s="6">
        <f t="shared" ca="1" si="0"/>
        <v>2570818</v>
      </c>
    </row>
    <row r="26" spans="1:9" x14ac:dyDescent="0.35">
      <c r="A26" s="3" t="s">
        <v>6</v>
      </c>
      <c r="B26" s="3">
        <v>3240</v>
      </c>
      <c r="C26" s="4">
        <v>44323</v>
      </c>
      <c r="D26" s="3" t="s">
        <v>9</v>
      </c>
      <c r="E26" s="3">
        <v>660340</v>
      </c>
      <c r="F26" s="4">
        <v>44312</v>
      </c>
      <c r="G26" s="5">
        <f ca="1">+CORREO!$A$1-FACTURAS!F26</f>
        <v>5</v>
      </c>
      <c r="H26" s="6">
        <v>3580774</v>
      </c>
      <c r="I26" s="6">
        <f t="shared" ca="1" si="0"/>
        <v>3580774</v>
      </c>
    </row>
    <row r="27" spans="1:9" x14ac:dyDescent="0.35">
      <c r="A27" s="3" t="s">
        <v>6</v>
      </c>
      <c r="B27" s="3">
        <v>3466</v>
      </c>
      <c r="C27" s="4">
        <v>44312</v>
      </c>
      <c r="D27" s="3" t="s">
        <v>9</v>
      </c>
      <c r="E27" s="3">
        <v>660340</v>
      </c>
      <c r="F27" s="4">
        <v>44320</v>
      </c>
      <c r="G27" s="5">
        <f ca="1">+CORREO!$A$1-FACTURAS!F27</f>
        <v>-3</v>
      </c>
      <c r="H27" s="6">
        <v>7209105</v>
      </c>
      <c r="I27" s="6">
        <f t="shared" ca="1" si="0"/>
        <v>0</v>
      </c>
    </row>
    <row r="28" spans="1:9" x14ac:dyDescent="0.35">
      <c r="A28" s="3" t="s">
        <v>6</v>
      </c>
      <c r="B28" s="3">
        <v>3809</v>
      </c>
      <c r="C28" s="4">
        <v>44302</v>
      </c>
      <c r="D28" s="3" t="s">
        <v>9</v>
      </c>
      <c r="E28" s="3">
        <v>660340</v>
      </c>
      <c r="F28" s="4">
        <v>44312</v>
      </c>
      <c r="G28" s="5">
        <f ca="1">+CORREO!$A$1-FACTURAS!F28</f>
        <v>5</v>
      </c>
      <c r="H28" s="6">
        <v>1271293</v>
      </c>
      <c r="I28" s="6">
        <f t="shared" ca="1" si="0"/>
        <v>1271293</v>
      </c>
    </row>
    <row r="29" spans="1:9" x14ac:dyDescent="0.35">
      <c r="A29" s="3" t="s">
        <v>6</v>
      </c>
      <c r="B29" s="3">
        <v>3078</v>
      </c>
      <c r="C29" s="4">
        <v>44303</v>
      </c>
      <c r="D29" s="3" t="s">
        <v>9</v>
      </c>
      <c r="E29" s="3">
        <v>660340</v>
      </c>
      <c r="F29" s="4">
        <v>44318</v>
      </c>
      <c r="G29" s="5">
        <f ca="1">+CORREO!$A$1-FACTURAS!F29</f>
        <v>-1</v>
      </c>
      <c r="H29" s="6">
        <v>9041166</v>
      </c>
      <c r="I29" s="6">
        <f t="shared" ca="1" si="0"/>
        <v>0</v>
      </c>
    </row>
    <row r="30" spans="1:9" x14ac:dyDescent="0.35">
      <c r="A30" s="3" t="s">
        <v>6</v>
      </c>
      <c r="B30" s="3">
        <v>3432</v>
      </c>
      <c r="C30" s="4">
        <v>44318</v>
      </c>
      <c r="D30" s="3" t="s">
        <v>9</v>
      </c>
      <c r="E30" s="3">
        <v>660340</v>
      </c>
      <c r="F30" s="4">
        <v>44311</v>
      </c>
      <c r="G30" s="5">
        <f ca="1">+CORREO!$A$1-FACTURAS!F30</f>
        <v>6</v>
      </c>
      <c r="H30" s="6">
        <v>3226020</v>
      </c>
      <c r="I30" s="6">
        <f t="shared" ca="1" si="0"/>
        <v>3226020</v>
      </c>
    </row>
    <row r="31" spans="1:9" x14ac:dyDescent="0.35">
      <c r="A31" s="3" t="s">
        <v>6</v>
      </c>
      <c r="B31" s="3">
        <v>3419</v>
      </c>
      <c r="C31" s="4">
        <v>44314</v>
      </c>
      <c r="D31" s="3" t="s">
        <v>9</v>
      </c>
      <c r="E31" s="3">
        <v>660340</v>
      </c>
      <c r="F31" s="4">
        <v>44310</v>
      </c>
      <c r="G31" s="5">
        <f ca="1">+CORREO!$A$1-FACTURAS!F31</f>
        <v>7</v>
      </c>
      <c r="H31" s="6">
        <v>922697</v>
      </c>
      <c r="I31" s="6">
        <f t="shared" ca="1" si="0"/>
        <v>922697</v>
      </c>
    </row>
    <row r="32" spans="1:9" x14ac:dyDescent="0.35">
      <c r="A32" s="3" t="s">
        <v>6</v>
      </c>
      <c r="B32" s="3">
        <v>3940</v>
      </c>
      <c r="C32" s="4">
        <v>44327</v>
      </c>
      <c r="D32" s="3" t="s">
        <v>10</v>
      </c>
      <c r="E32" s="3">
        <v>200450</v>
      </c>
      <c r="F32" s="4">
        <v>44313</v>
      </c>
      <c r="G32" s="5">
        <f ca="1">+CORREO!$A$1-FACTURAS!F32</f>
        <v>4</v>
      </c>
      <c r="H32" s="6">
        <v>6465583</v>
      </c>
      <c r="I32" s="6">
        <f t="shared" ca="1" si="0"/>
        <v>6465583</v>
      </c>
    </row>
    <row r="33" spans="1:9" x14ac:dyDescent="0.35">
      <c r="A33" s="3" t="s">
        <v>6</v>
      </c>
      <c r="B33" s="3">
        <v>3507</v>
      </c>
      <c r="C33" s="4">
        <v>44305</v>
      </c>
      <c r="D33" s="3" t="s">
        <v>10</v>
      </c>
      <c r="E33" s="3">
        <v>200450</v>
      </c>
      <c r="F33" s="4">
        <v>44318</v>
      </c>
      <c r="G33" s="5">
        <f ca="1">+CORREO!$A$1-FACTURAS!F33</f>
        <v>-1</v>
      </c>
      <c r="H33" s="6">
        <v>3124840</v>
      </c>
      <c r="I33" s="6">
        <f t="shared" ca="1" si="0"/>
        <v>0</v>
      </c>
    </row>
    <row r="34" spans="1:9" x14ac:dyDescent="0.35">
      <c r="A34" s="3" t="s">
        <v>6</v>
      </c>
      <c r="B34" s="3">
        <v>3779</v>
      </c>
      <c r="C34" s="4">
        <v>44326</v>
      </c>
      <c r="D34" s="3" t="s">
        <v>10</v>
      </c>
      <c r="E34" s="3">
        <v>200450</v>
      </c>
      <c r="F34" s="4">
        <v>44312</v>
      </c>
      <c r="G34" s="5">
        <f ca="1">+CORREO!$A$1-FACTURAS!F34</f>
        <v>5</v>
      </c>
      <c r="H34" s="6">
        <v>4911089</v>
      </c>
      <c r="I34" s="6">
        <f t="shared" ca="1" si="0"/>
        <v>4911089</v>
      </c>
    </row>
    <row r="35" spans="1:9" x14ac:dyDescent="0.35">
      <c r="A35" s="3" t="s">
        <v>13</v>
      </c>
      <c r="B35" s="3">
        <v>3893</v>
      </c>
      <c r="C35" s="4">
        <v>44321</v>
      </c>
      <c r="D35" s="3" t="s">
        <v>10</v>
      </c>
      <c r="E35" s="3">
        <v>200450</v>
      </c>
      <c r="F35" s="4">
        <v>44311</v>
      </c>
      <c r="G35" s="5">
        <f ca="1">+CORREO!$A$1-FACTURAS!F35</f>
        <v>6</v>
      </c>
      <c r="H35" s="6">
        <v>-517595</v>
      </c>
      <c r="I35" s="6">
        <f t="shared" ca="1" si="0"/>
        <v>-517595</v>
      </c>
    </row>
    <row r="36" spans="1:9" x14ac:dyDescent="0.35">
      <c r="A36" s="3" t="s">
        <v>6</v>
      </c>
      <c r="B36" s="3">
        <v>3061</v>
      </c>
      <c r="C36" s="4">
        <v>44323</v>
      </c>
      <c r="D36" s="3" t="s">
        <v>10</v>
      </c>
      <c r="E36" s="3">
        <v>200450</v>
      </c>
      <c r="F36" s="4">
        <v>44320</v>
      </c>
      <c r="G36" s="5">
        <f ca="1">+CORREO!$A$1-FACTURAS!F36</f>
        <v>-3</v>
      </c>
      <c r="H36" s="6">
        <v>463461</v>
      </c>
      <c r="I36" s="6">
        <f t="shared" ca="1" si="0"/>
        <v>0</v>
      </c>
    </row>
    <row r="37" spans="1:9" x14ac:dyDescent="0.35">
      <c r="A37" s="3" t="s">
        <v>6</v>
      </c>
      <c r="B37" s="3">
        <v>3572</v>
      </c>
      <c r="C37" s="4">
        <v>44317</v>
      </c>
      <c r="D37" s="3" t="s">
        <v>10</v>
      </c>
      <c r="E37" s="3">
        <v>200450</v>
      </c>
      <c r="F37" s="4">
        <v>44313</v>
      </c>
      <c r="G37" s="5">
        <f ca="1">+CORREO!$A$1-FACTURAS!F37</f>
        <v>4</v>
      </c>
      <c r="H37" s="6">
        <v>2978821</v>
      </c>
      <c r="I37" s="6">
        <f t="shared" ca="1" si="0"/>
        <v>2978821</v>
      </c>
    </row>
    <row r="38" spans="1:9" x14ac:dyDescent="0.35">
      <c r="A38" s="3" t="s">
        <v>6</v>
      </c>
      <c r="B38" s="3">
        <v>3501</v>
      </c>
      <c r="C38" s="4">
        <v>44316</v>
      </c>
      <c r="D38" s="3" t="s">
        <v>10</v>
      </c>
      <c r="E38" s="3">
        <v>200450</v>
      </c>
      <c r="F38" s="4">
        <v>44309</v>
      </c>
      <c r="G38" s="5">
        <f ca="1">+CORREO!$A$1-FACTURAS!F38</f>
        <v>8</v>
      </c>
      <c r="H38" s="6">
        <v>9324464</v>
      </c>
      <c r="I38" s="6">
        <f t="shared" ca="1" si="0"/>
        <v>9324464</v>
      </c>
    </row>
    <row r="39" spans="1:9" x14ac:dyDescent="0.35">
      <c r="A39" s="3" t="s">
        <v>6</v>
      </c>
      <c r="B39" s="3">
        <v>3042</v>
      </c>
      <c r="C39" s="4">
        <v>44309</v>
      </c>
      <c r="D39" s="3" t="s">
        <v>10</v>
      </c>
      <c r="E39" s="3">
        <v>200450</v>
      </c>
      <c r="F39" s="4">
        <v>44319</v>
      </c>
      <c r="G39" s="5">
        <f ca="1">+CORREO!$A$1-FACTURAS!F39</f>
        <v>-2</v>
      </c>
      <c r="H39" s="6">
        <v>6476346</v>
      </c>
      <c r="I39" s="6">
        <f t="shared" ca="1" si="0"/>
        <v>0</v>
      </c>
    </row>
    <row r="40" spans="1:9" x14ac:dyDescent="0.35">
      <c r="A40" s="3" t="s">
        <v>6</v>
      </c>
      <c r="B40" s="3">
        <v>3945</v>
      </c>
      <c r="C40" s="4">
        <v>44306</v>
      </c>
      <c r="D40" s="3" t="s">
        <v>10</v>
      </c>
      <c r="E40" s="3">
        <v>200450</v>
      </c>
      <c r="F40" s="4">
        <v>44318</v>
      </c>
      <c r="G40" s="5">
        <f ca="1">+CORREO!$A$1-FACTURAS!F40</f>
        <v>-1</v>
      </c>
      <c r="H40" s="6">
        <v>4237006</v>
      </c>
      <c r="I40" s="6">
        <f t="shared" ca="1" si="0"/>
        <v>0</v>
      </c>
    </row>
    <row r="41" spans="1:9" x14ac:dyDescent="0.35">
      <c r="A41" s="3" t="s">
        <v>6</v>
      </c>
      <c r="B41" s="3">
        <v>3570</v>
      </c>
      <c r="C41" s="4">
        <v>44320</v>
      </c>
      <c r="D41" s="3" t="s">
        <v>10</v>
      </c>
      <c r="E41" s="3">
        <v>200450</v>
      </c>
      <c r="F41" s="4">
        <v>44320</v>
      </c>
      <c r="G41" s="5">
        <f ca="1">+CORREO!$A$1-FACTURAS!F41</f>
        <v>-3</v>
      </c>
      <c r="H41" s="6">
        <v>9667262</v>
      </c>
      <c r="I41" s="6">
        <f t="shared" ca="1" si="0"/>
        <v>0</v>
      </c>
    </row>
    <row r="42" spans="1:9" x14ac:dyDescent="0.35">
      <c r="A42" s="3" t="s">
        <v>13</v>
      </c>
      <c r="B42" s="3">
        <v>3865</v>
      </c>
      <c r="C42" s="4">
        <v>44304</v>
      </c>
      <c r="D42" s="3" t="s">
        <v>11</v>
      </c>
      <c r="E42" s="3">
        <v>354100</v>
      </c>
      <c r="F42" s="4">
        <v>44313</v>
      </c>
      <c r="G42" s="5">
        <f ca="1">+CORREO!$A$1-FACTURAS!F42</f>
        <v>4</v>
      </c>
      <c r="H42" s="6">
        <v>-836005</v>
      </c>
      <c r="I42" s="6">
        <f t="shared" ca="1" si="0"/>
        <v>-836005</v>
      </c>
    </row>
    <row r="43" spans="1:9" x14ac:dyDescent="0.35">
      <c r="A43" s="3" t="s">
        <v>13</v>
      </c>
      <c r="B43" s="3">
        <v>3301</v>
      </c>
      <c r="C43" s="4">
        <v>44326</v>
      </c>
      <c r="D43" s="3" t="s">
        <v>11</v>
      </c>
      <c r="E43" s="3">
        <v>354100</v>
      </c>
      <c r="F43" s="4">
        <v>44317</v>
      </c>
      <c r="G43" s="5">
        <f ca="1">+CORREO!$A$1-FACTURAS!F43</f>
        <v>0</v>
      </c>
      <c r="H43" s="6">
        <v>-918312</v>
      </c>
      <c r="I43" s="6">
        <f t="shared" ca="1" si="0"/>
        <v>0</v>
      </c>
    </row>
    <row r="44" spans="1:9" x14ac:dyDescent="0.35">
      <c r="A44" s="3" t="s">
        <v>6</v>
      </c>
      <c r="B44" s="3">
        <v>3948</v>
      </c>
      <c r="C44" s="4">
        <v>44321</v>
      </c>
      <c r="D44" s="3" t="s">
        <v>11</v>
      </c>
      <c r="E44" s="3">
        <v>354100</v>
      </c>
      <c r="F44" s="4">
        <v>44315</v>
      </c>
      <c r="G44" s="5">
        <f ca="1">+CORREO!$A$1-FACTURAS!F44</f>
        <v>2</v>
      </c>
      <c r="H44" s="6">
        <v>6693143</v>
      </c>
      <c r="I44" s="6">
        <f t="shared" ca="1" si="0"/>
        <v>6693143</v>
      </c>
    </row>
    <row r="45" spans="1:9" x14ac:dyDescent="0.35">
      <c r="A45" s="3" t="s">
        <v>13</v>
      </c>
      <c r="B45" s="3">
        <v>3268</v>
      </c>
      <c r="C45" s="4">
        <v>44300</v>
      </c>
      <c r="D45" s="3" t="s">
        <v>11</v>
      </c>
      <c r="E45" s="3">
        <v>354100</v>
      </c>
      <c r="F45" s="4">
        <v>44307</v>
      </c>
      <c r="G45" s="5">
        <f ca="1">+CORREO!$A$1-FACTURAS!F45</f>
        <v>10</v>
      </c>
      <c r="H45" s="6">
        <v>-93464</v>
      </c>
      <c r="I45" s="6">
        <f t="shared" ca="1" si="0"/>
        <v>-93464</v>
      </c>
    </row>
    <row r="46" spans="1:9" x14ac:dyDescent="0.35">
      <c r="A46" s="3" t="s">
        <v>6</v>
      </c>
      <c r="B46" s="3">
        <v>3588</v>
      </c>
      <c r="C46" s="4">
        <v>44300</v>
      </c>
      <c r="D46" s="3" t="s">
        <v>11</v>
      </c>
      <c r="E46" s="3">
        <v>354100</v>
      </c>
      <c r="F46" s="4">
        <v>44319</v>
      </c>
      <c r="G46" s="5">
        <f ca="1">+CORREO!$A$1-FACTURAS!F46</f>
        <v>-2</v>
      </c>
      <c r="H46" s="6">
        <v>7456547</v>
      </c>
      <c r="I46" s="6">
        <f t="shared" ca="1" si="0"/>
        <v>0</v>
      </c>
    </row>
    <row r="47" spans="1:9" x14ac:dyDescent="0.35">
      <c r="A47" s="3" t="s">
        <v>6</v>
      </c>
      <c r="B47" s="3">
        <v>3233</v>
      </c>
      <c r="C47" s="4">
        <v>44319</v>
      </c>
      <c r="D47" s="3" t="s">
        <v>11</v>
      </c>
      <c r="E47" s="3">
        <v>354100</v>
      </c>
      <c r="F47" s="4">
        <v>44308</v>
      </c>
      <c r="G47" s="5">
        <f ca="1">+CORREO!$A$1-FACTURAS!F47</f>
        <v>9</v>
      </c>
      <c r="H47" s="6">
        <v>7335039</v>
      </c>
      <c r="I47" s="6">
        <f t="shared" ca="1" si="0"/>
        <v>7335039</v>
      </c>
    </row>
    <row r="48" spans="1:9" x14ac:dyDescent="0.35">
      <c r="A48" s="3" t="s">
        <v>6</v>
      </c>
      <c r="B48" s="3">
        <v>3910</v>
      </c>
      <c r="C48" s="4">
        <v>44311</v>
      </c>
      <c r="D48" s="3" t="s">
        <v>11</v>
      </c>
      <c r="E48" s="3">
        <v>354100</v>
      </c>
      <c r="F48" s="4">
        <v>44314</v>
      </c>
      <c r="G48" s="5">
        <f ca="1">+CORREO!$A$1-FACTURAS!F48</f>
        <v>3</v>
      </c>
      <c r="H48" s="6">
        <v>3171437</v>
      </c>
      <c r="I48" s="6">
        <f t="shared" ca="1" si="0"/>
        <v>3171437</v>
      </c>
    </row>
    <row r="49" spans="1:9" x14ac:dyDescent="0.35">
      <c r="A49" s="3" t="s">
        <v>6</v>
      </c>
      <c r="B49" s="3">
        <v>3091</v>
      </c>
      <c r="C49" s="4">
        <v>44315</v>
      </c>
      <c r="D49" s="3" t="s">
        <v>11</v>
      </c>
      <c r="E49" s="3">
        <v>354100</v>
      </c>
      <c r="F49" s="4">
        <v>44314</v>
      </c>
      <c r="G49" s="5">
        <f ca="1">+CORREO!$A$1-FACTURAS!F49</f>
        <v>3</v>
      </c>
      <c r="H49" s="6">
        <v>2008293</v>
      </c>
      <c r="I49" s="6">
        <f t="shared" ca="1" si="0"/>
        <v>2008293</v>
      </c>
    </row>
    <row r="50" spans="1:9" x14ac:dyDescent="0.35">
      <c r="A50" s="3" t="s">
        <v>6</v>
      </c>
      <c r="B50" s="3">
        <v>3160</v>
      </c>
      <c r="C50" s="4">
        <v>44310</v>
      </c>
      <c r="D50" s="3" t="s">
        <v>11</v>
      </c>
      <c r="E50" s="3">
        <v>354100</v>
      </c>
      <c r="F50" s="4">
        <v>44314</v>
      </c>
      <c r="G50" s="5">
        <f ca="1">+CORREO!$A$1-FACTURAS!F50</f>
        <v>3</v>
      </c>
      <c r="H50" s="6">
        <v>1272224</v>
      </c>
      <c r="I50" s="6">
        <f t="shared" ca="1" si="0"/>
        <v>1272224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C2E9D-838E-4C4C-80DD-0EC6F35BBF7D}">
  <sheetPr codeName="Hoja2"/>
  <dimension ref="A1:F6"/>
  <sheetViews>
    <sheetView workbookViewId="0">
      <selection activeCell="B10" sqref="B10"/>
    </sheetView>
  </sheetViews>
  <sheetFormatPr baseColWidth="10" defaultRowHeight="14.5" x14ac:dyDescent="0.35"/>
  <cols>
    <col min="1" max="1" width="14.1796875" customWidth="1"/>
    <col min="2" max="2" width="16.81640625" style="2" customWidth="1"/>
    <col min="3" max="3" width="16.81640625" style="3" customWidth="1"/>
    <col min="4" max="4" width="25.54296875" style="3" customWidth="1"/>
    <col min="5" max="5" width="19.453125" style="3" customWidth="1"/>
    <col min="6" max="6" width="24.81640625" customWidth="1"/>
  </cols>
  <sheetData>
    <row r="1" spans="1:6" x14ac:dyDescent="0.35">
      <c r="A1" t="s">
        <v>2</v>
      </c>
      <c r="B1" s="2" t="s">
        <v>3</v>
      </c>
      <c r="C1" s="3" t="s">
        <v>22</v>
      </c>
      <c r="D1" s="3" t="s">
        <v>20</v>
      </c>
      <c r="E1" s="3" t="s">
        <v>33</v>
      </c>
      <c r="F1" t="s">
        <v>21</v>
      </c>
    </row>
    <row r="2" spans="1:6" x14ac:dyDescent="0.35">
      <c r="A2" t="s">
        <v>7</v>
      </c>
      <c r="B2" s="18">
        <f>+VLOOKUP(A2,FACTURAS!D:E,2,FALSE)</f>
        <v>500438</v>
      </c>
      <c r="C2" s="3" t="s">
        <v>23</v>
      </c>
      <c r="D2" s="13" t="s">
        <v>28</v>
      </c>
      <c r="E2" s="14" t="s">
        <v>34</v>
      </c>
      <c r="F2" s="12" t="s">
        <v>39</v>
      </c>
    </row>
    <row r="3" spans="1:6" x14ac:dyDescent="0.35">
      <c r="A3" t="s">
        <v>8</v>
      </c>
      <c r="B3" s="18">
        <f>+VLOOKUP(A3,FACTURAS!D:E,2,FALSE)</f>
        <v>700250</v>
      </c>
      <c r="C3" s="3" t="s">
        <v>24</v>
      </c>
      <c r="D3" s="13" t="s">
        <v>29</v>
      </c>
      <c r="E3" s="14" t="s">
        <v>35</v>
      </c>
      <c r="F3" s="12" t="s">
        <v>40</v>
      </c>
    </row>
    <row r="4" spans="1:6" x14ac:dyDescent="0.35">
      <c r="A4" t="s">
        <v>9</v>
      </c>
      <c r="B4" s="18">
        <f>+VLOOKUP(A4,FACTURAS!D:E,2,FALSE)</f>
        <v>660340</v>
      </c>
      <c r="C4" s="3" t="s">
        <v>25</v>
      </c>
      <c r="D4" s="13" t="s">
        <v>30</v>
      </c>
      <c r="E4" s="14" t="s">
        <v>36</v>
      </c>
      <c r="F4" s="12" t="s">
        <v>41</v>
      </c>
    </row>
    <row r="5" spans="1:6" x14ac:dyDescent="0.35">
      <c r="A5" t="s">
        <v>10</v>
      </c>
      <c r="B5" s="18">
        <f>+VLOOKUP(A5,FACTURAS!D:E,2,FALSE)</f>
        <v>200450</v>
      </c>
      <c r="C5" s="3" t="s">
        <v>26</v>
      </c>
      <c r="D5" s="13" t="s">
        <v>31</v>
      </c>
      <c r="E5" s="14" t="s">
        <v>37</v>
      </c>
      <c r="F5" s="12" t="s">
        <v>42</v>
      </c>
    </row>
    <row r="6" spans="1:6" x14ac:dyDescent="0.35">
      <c r="A6" t="s">
        <v>11</v>
      </c>
      <c r="B6" s="18">
        <f>+VLOOKUP(A6,FACTURAS!D:E,2,FALSE)</f>
        <v>354100</v>
      </c>
      <c r="C6" s="3" t="s">
        <v>27</v>
      </c>
      <c r="D6" s="13" t="s">
        <v>32</v>
      </c>
      <c r="E6" s="14" t="s">
        <v>38</v>
      </c>
      <c r="F6" s="12" t="s">
        <v>43</v>
      </c>
    </row>
  </sheetData>
  <hyperlinks>
    <hyperlink ref="D2" r:id="rId1" xr:uid="{DF9AF8E9-81E8-4D64-A43E-62D5A0BD508E}"/>
    <hyperlink ref="D3" r:id="rId2" xr:uid="{D22F2B1A-C56F-41DB-BB79-01B689291CB0}"/>
    <hyperlink ref="D4" r:id="rId3" xr:uid="{28DB00C5-0A15-43EB-B032-DC31350963EE}"/>
    <hyperlink ref="D5" r:id="rId4" xr:uid="{3DA60BD5-507F-44AA-AFDF-25ADA4174ADB}"/>
    <hyperlink ref="D6" r:id="rId5" xr:uid="{64C1EA76-84B2-4BB0-92C6-8E4953AAB5C1}"/>
    <hyperlink ref="F2" r:id="rId6" xr:uid="{956A8D35-880E-4569-91A8-3561FE3F756C}"/>
    <hyperlink ref="F3" r:id="rId7" xr:uid="{0D5E42B2-C555-4408-A83F-C95675DA96EE}"/>
    <hyperlink ref="F4" r:id="rId8" xr:uid="{BF1D4E81-3BEB-4300-A657-24645C6CE4F4}"/>
    <hyperlink ref="F5" r:id="rId9" xr:uid="{C4708FBE-C13E-4BCF-BA96-B363B3979029}"/>
    <hyperlink ref="F6" r:id="rId10" xr:uid="{9B306C7F-062B-4197-B739-6993C65957E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11C33-09B8-4939-915F-2C66C0F03C64}">
  <sheetPr codeName="Hoja3"/>
  <dimension ref="A1:J91"/>
  <sheetViews>
    <sheetView showGridLines="0" tabSelected="1" workbookViewId="0">
      <selection activeCell="F65" sqref="F65"/>
    </sheetView>
  </sheetViews>
  <sheetFormatPr baseColWidth="10" defaultRowHeight="15" x14ac:dyDescent="0.4"/>
  <cols>
    <col min="1" max="1" width="3.1796875" style="8" customWidth="1"/>
    <col min="2" max="2" width="13.36328125" style="8" customWidth="1"/>
    <col min="3" max="3" width="19.7265625" style="8" customWidth="1"/>
    <col min="4" max="4" width="17" style="8" bestFit="1" customWidth="1"/>
    <col min="5" max="5" width="24.90625" style="8" bestFit="1" customWidth="1"/>
    <col min="6" max="6" width="18.81640625" style="17" bestFit="1" customWidth="1"/>
    <col min="7" max="7" width="27.7265625" style="19" customWidth="1"/>
    <col min="8" max="8" width="15.1796875" style="19" bestFit="1" customWidth="1"/>
    <col min="9" max="16384" width="10.90625" style="8"/>
  </cols>
  <sheetData>
    <row r="1" spans="1:10" ht="15.5" thickBot="1" x14ac:dyDescent="0.45">
      <c r="A1" s="7">
        <f ca="1">+TODAY()</f>
        <v>44317</v>
      </c>
      <c r="E1" s="9"/>
    </row>
    <row r="2" spans="1:10" x14ac:dyDescent="0.4">
      <c r="C2" s="30" t="s">
        <v>14</v>
      </c>
      <c r="D2" s="29" t="s">
        <v>19</v>
      </c>
      <c r="F2" s="37" t="s">
        <v>15</v>
      </c>
      <c r="G2" s="26" t="s">
        <v>64</v>
      </c>
      <c r="J2" s="8" t="str">
        <f>+VLOOKUP(D9,'DATOS CLIENTE Y VENTAS'!A:D,4,FALSE)</f>
        <v>adolfo@Microsoft.com</v>
      </c>
    </row>
    <row r="3" spans="1:10" x14ac:dyDescent="0.4">
      <c r="C3" s="31" t="s">
        <v>61</v>
      </c>
      <c r="D3" s="41" t="str">
        <f>+D9</f>
        <v>Microsoft</v>
      </c>
      <c r="F3" s="38" t="s">
        <v>16</v>
      </c>
      <c r="G3" s="27" t="str">
        <f>+VLOOKUP(D9,'DATOS CLIENTE Y VENTAS'!A:F,6,FALSE)</f>
        <v>Pablo@xiaomi.com</v>
      </c>
    </row>
    <row r="4" spans="1:10" ht="15.5" thickBot="1" x14ac:dyDescent="0.45">
      <c r="C4" s="32" t="s">
        <v>62</v>
      </c>
      <c r="D4" s="42">
        <f ca="1">+G4/G5</f>
        <v>0.85459641461683189</v>
      </c>
      <c r="F4" s="38" t="s">
        <v>17</v>
      </c>
      <c r="G4" s="27">
        <f ca="1">+SUMIF(FACTURAS!D:I,CORREO!$D$9,FACTURAS!$I:$I)</f>
        <v>56067642</v>
      </c>
    </row>
    <row r="5" spans="1:10" ht="15.5" thickBot="1" x14ac:dyDescent="0.45">
      <c r="D5" s="12"/>
      <c r="F5" s="39" t="s">
        <v>18</v>
      </c>
      <c r="G5" s="28">
        <f ca="1">+SUMIF(FACTURAS!D:I,CORREO!$D$9,FACTURAS!$H:$H)</f>
        <v>65607158</v>
      </c>
    </row>
    <row r="6" spans="1:10" ht="15.5" thickBot="1" x14ac:dyDescent="0.45"/>
    <row r="7" spans="1:10" ht="15.5" thickBot="1" x14ac:dyDescent="0.45">
      <c r="C7" s="33" t="s">
        <v>63</v>
      </c>
      <c r="D7" s="40" t="str">
        <f>+C74&amp;" "&amp;D74&amp;" - "&amp;D2</f>
        <v>Estado de Cuenta :  Microsoft - XIAOMI</v>
      </c>
      <c r="E7" s="40"/>
    </row>
    <row r="9" spans="1:10" x14ac:dyDescent="0.4">
      <c r="C9" s="15" t="s">
        <v>2</v>
      </c>
      <c r="D9" t="s">
        <v>7</v>
      </c>
      <c r="E9"/>
    </row>
    <row r="10" spans="1:10" x14ac:dyDescent="0.4">
      <c r="D10"/>
      <c r="E10"/>
    </row>
    <row r="11" spans="1:10" x14ac:dyDescent="0.4">
      <c r="C11" s="20" t="s">
        <v>50</v>
      </c>
      <c r="D11" t="s">
        <v>45</v>
      </c>
      <c r="E11" t="s">
        <v>47</v>
      </c>
      <c r="F11" s="18" t="s">
        <v>48</v>
      </c>
      <c r="G11" s="6" t="s">
        <v>49</v>
      </c>
      <c r="H11" s="6" t="s">
        <v>52</v>
      </c>
    </row>
    <row r="12" spans="1:10" x14ac:dyDescent="0.4">
      <c r="C12" s="3">
        <v>3115</v>
      </c>
      <c r="D12" s="1">
        <v>44328</v>
      </c>
      <c r="E12" s="1">
        <v>44319</v>
      </c>
      <c r="F12" s="18">
        <v>-2</v>
      </c>
      <c r="G12" s="6">
        <v>0</v>
      </c>
      <c r="H12" s="6">
        <v>664804</v>
      </c>
    </row>
    <row r="13" spans="1:10" x14ac:dyDescent="0.4">
      <c r="C13" s="3">
        <v>3266</v>
      </c>
      <c r="D13" s="1">
        <v>44307</v>
      </c>
      <c r="E13" s="1">
        <v>44310</v>
      </c>
      <c r="F13" s="18">
        <v>7</v>
      </c>
      <c r="G13" s="6">
        <v>7714466</v>
      </c>
      <c r="H13" s="6">
        <v>7714466</v>
      </c>
    </row>
    <row r="14" spans="1:10" x14ac:dyDescent="0.4">
      <c r="C14" s="3">
        <v>3379</v>
      </c>
      <c r="D14" s="1">
        <v>44304</v>
      </c>
      <c r="E14" s="1">
        <v>44310</v>
      </c>
      <c r="F14" s="18">
        <v>7</v>
      </c>
      <c r="G14" s="6">
        <v>9144892</v>
      </c>
      <c r="H14" s="6">
        <v>9144892</v>
      </c>
    </row>
    <row r="15" spans="1:10" x14ac:dyDescent="0.4">
      <c r="C15" s="3">
        <v>3383</v>
      </c>
      <c r="D15" s="1">
        <v>44312</v>
      </c>
      <c r="E15" s="1">
        <v>44307</v>
      </c>
      <c r="F15" s="18">
        <v>10</v>
      </c>
      <c r="G15" s="6">
        <v>3869848</v>
      </c>
      <c r="H15" s="6">
        <v>3869848</v>
      </c>
    </row>
    <row r="16" spans="1:10" hidden="1" x14ac:dyDescent="0.4">
      <c r="C16" s="16">
        <v>3461</v>
      </c>
      <c r="D16" s="1">
        <v>44309</v>
      </c>
      <c r="E16" s="1">
        <v>44318</v>
      </c>
      <c r="F16" s="18">
        <v>-1</v>
      </c>
      <c r="G16" s="6">
        <v>0</v>
      </c>
      <c r="H16" s="6">
        <v>8874712</v>
      </c>
    </row>
    <row r="17" spans="3:8" hidden="1" x14ac:dyDescent="0.4">
      <c r="C17" s="16">
        <v>3503</v>
      </c>
      <c r="D17" s="1">
        <v>44302</v>
      </c>
      <c r="E17" s="1">
        <v>44309</v>
      </c>
      <c r="F17" s="18">
        <v>8</v>
      </c>
      <c r="G17" s="6">
        <v>6541768</v>
      </c>
      <c r="H17" s="6">
        <v>6541768</v>
      </c>
    </row>
    <row r="18" spans="3:8" hidden="1" x14ac:dyDescent="0.4">
      <c r="C18" s="16">
        <v>3665</v>
      </c>
      <c r="D18" s="1">
        <v>44307</v>
      </c>
      <c r="E18" s="1">
        <v>44315</v>
      </c>
      <c r="F18" s="18">
        <v>2</v>
      </c>
      <c r="G18" s="6">
        <v>8180393</v>
      </c>
      <c r="H18" s="6">
        <v>8180393</v>
      </c>
    </row>
    <row r="19" spans="3:8" hidden="1" x14ac:dyDescent="0.4">
      <c r="C19" s="16">
        <v>3677</v>
      </c>
      <c r="D19" s="1">
        <v>44327</v>
      </c>
      <c r="E19" s="1">
        <v>44315</v>
      </c>
      <c r="F19" s="18">
        <v>2</v>
      </c>
      <c r="G19" s="6">
        <v>5262335</v>
      </c>
      <c r="H19" s="6">
        <v>5262335</v>
      </c>
    </row>
    <row r="20" spans="3:8" hidden="1" x14ac:dyDescent="0.4">
      <c r="C20" s="16">
        <v>3757</v>
      </c>
      <c r="D20" s="1">
        <v>44311</v>
      </c>
      <c r="E20" s="1">
        <v>44314</v>
      </c>
      <c r="F20" s="18">
        <v>3</v>
      </c>
      <c r="G20" s="6">
        <v>8909735</v>
      </c>
      <c r="H20" s="6">
        <v>8909735</v>
      </c>
    </row>
    <row r="21" spans="3:8" hidden="1" x14ac:dyDescent="0.4">
      <c r="C21" s="16">
        <v>3885</v>
      </c>
      <c r="D21" s="1">
        <v>44322</v>
      </c>
      <c r="E21" s="1">
        <v>44314</v>
      </c>
      <c r="F21" s="18">
        <v>3</v>
      </c>
      <c r="G21" s="6">
        <v>6444205</v>
      </c>
      <c r="H21" s="6">
        <v>6444205</v>
      </c>
    </row>
    <row r="22" spans="3:8" hidden="1" x14ac:dyDescent="0.4">
      <c r="C22" s="16" t="s">
        <v>44</v>
      </c>
      <c r="D22" s="1">
        <v>443129</v>
      </c>
      <c r="E22" s="1">
        <v>443131</v>
      </c>
      <c r="F22" s="18">
        <v>39</v>
      </c>
      <c r="G22" s="6">
        <v>56067642</v>
      </c>
      <c r="H22" s="6">
        <v>65607158</v>
      </c>
    </row>
    <row r="23" spans="3:8" hidden="1" x14ac:dyDescent="0.4">
      <c r="C23"/>
      <c r="D23"/>
      <c r="E23"/>
      <c r="F23"/>
      <c r="G23" s="6"/>
    </row>
    <row r="24" spans="3:8" hidden="1" x14ac:dyDescent="0.4">
      <c r="C24"/>
      <c r="D24"/>
      <c r="E24"/>
      <c r="F24"/>
      <c r="G24" s="6"/>
    </row>
    <row r="25" spans="3:8" hidden="1" x14ac:dyDescent="0.4">
      <c r="C25"/>
      <c r="D25"/>
      <c r="E25"/>
      <c r="F25"/>
      <c r="G25" s="6"/>
    </row>
    <row r="26" spans="3:8" hidden="1" x14ac:dyDescent="0.4">
      <c r="C26"/>
      <c r="D26"/>
      <c r="E26"/>
      <c r="F26"/>
      <c r="G26" s="6"/>
    </row>
    <row r="27" spans="3:8" hidden="1" x14ac:dyDescent="0.4">
      <c r="C27"/>
      <c r="D27"/>
      <c r="E27"/>
      <c r="F27"/>
      <c r="G27" s="6"/>
    </row>
    <row r="28" spans="3:8" hidden="1" x14ac:dyDescent="0.4">
      <c r="C28"/>
      <c r="D28"/>
      <c r="E28"/>
      <c r="F28"/>
      <c r="G28" s="6"/>
    </row>
    <row r="29" spans="3:8" hidden="1" x14ac:dyDescent="0.4">
      <c r="C29"/>
      <c r="D29"/>
      <c r="E29"/>
      <c r="F29"/>
      <c r="G29" s="6"/>
    </row>
    <row r="30" spans="3:8" hidden="1" x14ac:dyDescent="0.4">
      <c r="C30"/>
      <c r="D30"/>
      <c r="E30"/>
      <c r="F30"/>
      <c r="G30" s="6"/>
    </row>
    <row r="31" spans="3:8" hidden="1" x14ac:dyDescent="0.4">
      <c r="C31"/>
      <c r="D31"/>
      <c r="E31"/>
      <c r="F31"/>
      <c r="G31" s="6"/>
    </row>
    <row r="32" spans="3:8" hidden="1" x14ac:dyDescent="0.4">
      <c r="C32"/>
      <c r="D32"/>
      <c r="E32"/>
      <c r="F32"/>
      <c r="G32" s="6"/>
    </row>
    <row r="33" spans="3:7" hidden="1" x14ac:dyDescent="0.4">
      <c r="C33"/>
      <c r="D33"/>
      <c r="E33"/>
      <c r="F33"/>
      <c r="G33" s="6"/>
    </row>
    <row r="34" spans="3:7" hidden="1" x14ac:dyDescent="0.4">
      <c r="C34"/>
      <c r="D34"/>
      <c r="E34"/>
      <c r="F34"/>
      <c r="G34" s="6"/>
    </row>
    <row r="35" spans="3:7" hidden="1" x14ac:dyDescent="0.4">
      <c r="C35"/>
      <c r="D35"/>
      <c r="E35"/>
      <c r="F35"/>
      <c r="G35" s="6"/>
    </row>
    <row r="36" spans="3:7" hidden="1" x14ac:dyDescent="0.4">
      <c r="C36"/>
      <c r="D36"/>
      <c r="E36"/>
      <c r="F36"/>
      <c r="G36" s="6"/>
    </row>
    <row r="37" spans="3:7" hidden="1" x14ac:dyDescent="0.4">
      <c r="C37"/>
      <c r="D37"/>
      <c r="E37"/>
      <c r="F37"/>
      <c r="G37" s="6"/>
    </row>
    <row r="38" spans="3:7" hidden="1" x14ac:dyDescent="0.4">
      <c r="C38"/>
      <c r="D38"/>
      <c r="E38"/>
      <c r="F38"/>
      <c r="G38" s="6"/>
    </row>
    <row r="39" spans="3:7" hidden="1" x14ac:dyDescent="0.4">
      <c r="C39"/>
      <c r="D39"/>
      <c r="E39"/>
      <c r="F39"/>
      <c r="G39" s="6"/>
    </row>
    <row r="40" spans="3:7" hidden="1" x14ac:dyDescent="0.4">
      <c r="C40"/>
      <c r="D40"/>
      <c r="E40"/>
      <c r="F40"/>
      <c r="G40" s="6"/>
    </row>
    <row r="41" spans="3:7" hidden="1" x14ac:dyDescent="0.4">
      <c r="C41"/>
      <c r="D41"/>
      <c r="E41"/>
      <c r="F41"/>
      <c r="G41" s="6"/>
    </row>
    <row r="42" spans="3:7" hidden="1" x14ac:dyDescent="0.4">
      <c r="C42"/>
      <c r="D42"/>
      <c r="E42"/>
      <c r="F42"/>
      <c r="G42" s="6"/>
    </row>
    <row r="43" spans="3:7" hidden="1" x14ac:dyDescent="0.4">
      <c r="C43"/>
      <c r="D43"/>
      <c r="E43"/>
      <c r="F43"/>
      <c r="G43" s="6"/>
    </row>
    <row r="44" spans="3:7" hidden="1" x14ac:dyDescent="0.4">
      <c r="C44"/>
      <c r="D44"/>
      <c r="E44"/>
      <c r="F44"/>
      <c r="G44" s="6"/>
    </row>
    <row r="45" spans="3:7" hidden="1" x14ac:dyDescent="0.4">
      <c r="C45"/>
      <c r="D45"/>
      <c r="E45"/>
      <c r="F45"/>
      <c r="G45" s="6"/>
    </row>
    <row r="46" spans="3:7" hidden="1" x14ac:dyDescent="0.4">
      <c r="C46"/>
      <c r="D46"/>
      <c r="E46"/>
      <c r="F46"/>
      <c r="G46" s="6"/>
    </row>
    <row r="47" spans="3:7" hidden="1" x14ac:dyDescent="0.4">
      <c r="C47"/>
      <c r="D47"/>
      <c r="E47"/>
      <c r="F47"/>
      <c r="G47" s="6"/>
    </row>
    <row r="48" spans="3:7" hidden="1" x14ac:dyDescent="0.4">
      <c r="C48"/>
      <c r="D48"/>
      <c r="E48"/>
      <c r="F48"/>
      <c r="G48" s="6"/>
    </row>
    <row r="49" spans="3:7" hidden="1" x14ac:dyDescent="0.4">
      <c r="C49"/>
      <c r="D49"/>
      <c r="E49"/>
      <c r="F49"/>
      <c r="G49" s="6"/>
    </row>
    <row r="50" spans="3:7" hidden="1" x14ac:dyDescent="0.4">
      <c r="C50"/>
      <c r="D50"/>
      <c r="E50"/>
      <c r="F50"/>
      <c r="G50" s="6"/>
    </row>
    <row r="51" spans="3:7" hidden="1" x14ac:dyDescent="0.4">
      <c r="C51"/>
      <c r="D51"/>
      <c r="E51"/>
      <c r="F51"/>
      <c r="G51" s="6"/>
    </row>
    <row r="52" spans="3:7" hidden="1" x14ac:dyDescent="0.4">
      <c r="C52"/>
      <c r="D52"/>
      <c r="E52"/>
      <c r="F52"/>
      <c r="G52" s="6"/>
    </row>
    <row r="53" spans="3:7" hidden="1" x14ac:dyDescent="0.4">
      <c r="C53"/>
      <c r="D53"/>
      <c r="E53"/>
      <c r="F53"/>
      <c r="G53" s="6"/>
    </row>
    <row r="54" spans="3:7" hidden="1" x14ac:dyDescent="0.4">
      <c r="C54"/>
      <c r="D54"/>
      <c r="E54"/>
      <c r="F54"/>
      <c r="G54" s="6"/>
    </row>
    <row r="55" spans="3:7" hidden="1" x14ac:dyDescent="0.4">
      <c r="C55"/>
      <c r="D55"/>
      <c r="E55"/>
      <c r="F55"/>
      <c r="G55" s="6"/>
    </row>
    <row r="56" spans="3:7" hidden="1" x14ac:dyDescent="0.4">
      <c r="C56"/>
      <c r="D56"/>
      <c r="E56"/>
      <c r="F56"/>
      <c r="G56" s="6"/>
    </row>
    <row r="57" spans="3:7" hidden="1" x14ac:dyDescent="0.4">
      <c r="C57"/>
      <c r="D57"/>
      <c r="E57"/>
      <c r="F57"/>
      <c r="G57" s="6"/>
    </row>
    <row r="58" spans="3:7" hidden="1" x14ac:dyDescent="0.4">
      <c r="C58"/>
      <c r="D58"/>
      <c r="E58"/>
      <c r="F58"/>
      <c r="G58" s="6"/>
    </row>
    <row r="59" spans="3:7" hidden="1" x14ac:dyDescent="0.4">
      <c r="C59"/>
      <c r="D59"/>
      <c r="E59"/>
      <c r="F59"/>
      <c r="G59" s="6"/>
    </row>
    <row r="60" spans="3:7" hidden="1" x14ac:dyDescent="0.4">
      <c r="C60"/>
      <c r="D60"/>
      <c r="E60"/>
      <c r="F60"/>
      <c r="G60" s="6"/>
    </row>
    <row r="61" spans="3:7" hidden="1" x14ac:dyDescent="0.4"/>
    <row r="62" spans="3:7" hidden="1" x14ac:dyDescent="0.4"/>
    <row r="70" spans="2:6" x14ac:dyDescent="0.4">
      <c r="B70" s="8" t="s">
        <v>51</v>
      </c>
      <c r="C70" s="8" t="str">
        <f>+VLOOKUP(D9,'DATOS CLIENTE Y VENTAS'!A:C,3,FALSE)</f>
        <v>Adolfo</v>
      </c>
    </row>
    <row r="72" spans="2:6" x14ac:dyDescent="0.4">
      <c r="B72" s="8" t="s">
        <v>53</v>
      </c>
    </row>
    <row r="73" spans="2:6" ht="15.5" thickBot="1" x14ac:dyDescent="0.45"/>
    <row r="74" spans="2:6" ht="15.5" thickBot="1" x14ac:dyDescent="0.45">
      <c r="C74" s="34" t="s">
        <v>57</v>
      </c>
      <c r="D74" s="35" t="str">
        <f>+D9</f>
        <v>Microsoft</v>
      </c>
      <c r="E74" s="35" t="s">
        <v>54</v>
      </c>
      <c r="F74" s="36">
        <f>+VLOOKUP(D74,'DATOS CLIENTE Y VENTAS'!A:B,2,FALSE)</f>
        <v>500438</v>
      </c>
    </row>
    <row r="75" spans="2:6" ht="15.5" thickBot="1" x14ac:dyDescent="0.45">
      <c r="C75" s="23" t="s">
        <v>58</v>
      </c>
      <c r="D75" s="24" t="s">
        <v>55</v>
      </c>
      <c r="E75" s="24" t="s">
        <v>17</v>
      </c>
      <c r="F75" s="25" t="s">
        <v>56</v>
      </c>
    </row>
    <row r="77" spans="2:6" x14ac:dyDescent="0.4">
      <c r="C77" s="9">
        <f>+C12</f>
        <v>3115</v>
      </c>
      <c r="D77" s="9">
        <f>+F12</f>
        <v>-2</v>
      </c>
      <c r="E77" s="21">
        <f t="shared" ref="E77:F77" si="0">+G12</f>
        <v>0</v>
      </c>
      <c r="F77" s="21">
        <f t="shared" si="0"/>
        <v>664804</v>
      </c>
    </row>
    <row r="78" spans="2:6" x14ac:dyDescent="0.4">
      <c r="C78" s="9">
        <f t="shared" ref="C78:C88" si="1">+C13</f>
        <v>3266</v>
      </c>
      <c r="D78" s="9">
        <f t="shared" ref="D78:D83" si="2">+F13</f>
        <v>7</v>
      </c>
      <c r="E78" s="21">
        <f t="shared" ref="E78:E84" si="3">+G13</f>
        <v>7714466</v>
      </c>
      <c r="F78" s="21">
        <f t="shared" ref="F78:F84" si="4">+H13</f>
        <v>7714466</v>
      </c>
    </row>
    <row r="79" spans="2:6" x14ac:dyDescent="0.4">
      <c r="C79" s="9">
        <f t="shared" si="1"/>
        <v>3379</v>
      </c>
      <c r="D79" s="9">
        <f t="shared" si="2"/>
        <v>7</v>
      </c>
      <c r="E79" s="21">
        <f t="shared" si="3"/>
        <v>9144892</v>
      </c>
      <c r="F79" s="21">
        <f t="shared" si="4"/>
        <v>9144892</v>
      </c>
    </row>
    <row r="80" spans="2:6" x14ac:dyDescent="0.4">
      <c r="C80" s="9">
        <f t="shared" si="1"/>
        <v>3383</v>
      </c>
      <c r="D80" s="9">
        <f t="shared" si="2"/>
        <v>10</v>
      </c>
      <c r="E80" s="21">
        <f t="shared" si="3"/>
        <v>3869848</v>
      </c>
      <c r="F80" s="21">
        <f t="shared" si="4"/>
        <v>3869848</v>
      </c>
    </row>
    <row r="81" spans="2:6" x14ac:dyDescent="0.4">
      <c r="C81" s="9">
        <f t="shared" si="1"/>
        <v>3461</v>
      </c>
      <c r="D81" s="9">
        <f t="shared" si="2"/>
        <v>-1</v>
      </c>
      <c r="E81" s="21">
        <f t="shared" si="3"/>
        <v>0</v>
      </c>
      <c r="F81" s="21">
        <f t="shared" si="4"/>
        <v>8874712</v>
      </c>
    </row>
    <row r="82" spans="2:6" x14ac:dyDescent="0.4">
      <c r="C82" s="9">
        <f t="shared" si="1"/>
        <v>3503</v>
      </c>
      <c r="D82" s="9">
        <f t="shared" si="2"/>
        <v>8</v>
      </c>
      <c r="E82" s="21">
        <f t="shared" si="3"/>
        <v>6541768</v>
      </c>
      <c r="F82" s="21">
        <f t="shared" si="4"/>
        <v>6541768</v>
      </c>
    </row>
    <row r="83" spans="2:6" x14ac:dyDescent="0.4">
      <c r="C83" s="9">
        <f t="shared" si="1"/>
        <v>3665</v>
      </c>
      <c r="D83" s="9">
        <f t="shared" si="2"/>
        <v>2</v>
      </c>
      <c r="E83" s="21">
        <f t="shared" si="3"/>
        <v>8180393</v>
      </c>
      <c r="F83" s="21">
        <f t="shared" si="4"/>
        <v>8180393</v>
      </c>
    </row>
    <row r="84" spans="2:6" x14ac:dyDescent="0.4">
      <c r="C84" s="9">
        <f>+C19</f>
        <v>3677</v>
      </c>
      <c r="D84" s="9">
        <f>+F19</f>
        <v>2</v>
      </c>
      <c r="E84" s="21">
        <f t="shared" si="3"/>
        <v>5262335</v>
      </c>
      <c r="F84" s="21">
        <f t="shared" si="4"/>
        <v>5262335</v>
      </c>
    </row>
    <row r="85" spans="2:6" x14ac:dyDescent="0.4">
      <c r="C85" s="9">
        <f t="shared" si="1"/>
        <v>3757</v>
      </c>
      <c r="D85" s="9">
        <f t="shared" ref="D85:D86" si="5">+F20</f>
        <v>3</v>
      </c>
      <c r="E85" s="21">
        <f t="shared" ref="E85:E88" si="6">+G20</f>
        <v>8909735</v>
      </c>
      <c r="F85" s="21">
        <f t="shared" ref="F85:F88" si="7">+H20</f>
        <v>8909735</v>
      </c>
    </row>
    <row r="86" spans="2:6" x14ac:dyDescent="0.4">
      <c r="C86" s="9">
        <f t="shared" si="1"/>
        <v>3885</v>
      </c>
      <c r="D86" s="9">
        <f t="shared" si="5"/>
        <v>3</v>
      </c>
      <c r="E86" s="21">
        <f t="shared" si="6"/>
        <v>6444205</v>
      </c>
      <c r="F86" s="21">
        <f t="shared" si="7"/>
        <v>6444205</v>
      </c>
    </row>
    <row r="87" spans="2:6" x14ac:dyDescent="0.4">
      <c r="C87" s="10" t="str">
        <f>+C22</f>
        <v>Total general</v>
      </c>
      <c r="D87" s="10">
        <f>+F22</f>
        <v>39</v>
      </c>
      <c r="E87" s="22">
        <f t="shared" si="6"/>
        <v>56067642</v>
      </c>
      <c r="F87" s="22">
        <f t="shared" si="7"/>
        <v>65607158</v>
      </c>
    </row>
    <row r="88" spans="2:6" x14ac:dyDescent="0.4">
      <c r="C88" s="9"/>
      <c r="D88" s="9"/>
      <c r="E88" s="21"/>
      <c r="F88" s="21"/>
    </row>
    <row r="89" spans="2:6" x14ac:dyDescent="0.4">
      <c r="B89" s="8" t="s">
        <v>59</v>
      </c>
    </row>
    <row r="91" spans="2:6" x14ac:dyDescent="0.4">
      <c r="B91" s="8" t="s">
        <v>60</v>
      </c>
    </row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FACTURAS</vt:lpstr>
      <vt:lpstr>DATOS CLIENTE Y VENTAS</vt:lpstr>
      <vt:lpstr>CORREO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Jose Diaz Carvajal</dc:creator>
  <cp:lastModifiedBy>Camilo Jose Diaz Carvajal</cp:lastModifiedBy>
  <dcterms:created xsi:type="dcterms:W3CDTF">2021-05-01T17:23:41Z</dcterms:created>
  <dcterms:modified xsi:type="dcterms:W3CDTF">2021-05-01T19:52:18Z</dcterms:modified>
</cp:coreProperties>
</file>